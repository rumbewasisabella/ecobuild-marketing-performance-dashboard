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charts/chartEx6.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BINUS\PORTOFOLIO\"/>
    </mc:Choice>
  </mc:AlternateContent>
  <xr:revisionPtr revIDLastSave="0" documentId="8_{CCA6571B-D81D-4449-B066-96A6CF20A390}" xr6:coauthVersionLast="47" xr6:coauthVersionMax="47" xr10:uidLastSave="{00000000-0000-0000-0000-000000000000}"/>
  <bookViews>
    <workbookView xWindow="-120" yWindow="-120" windowWidth="20730" windowHeight="11040" xr2:uid="{D2DE1E7A-E100-4FE0-8652-99430C71FD8D}"/>
  </bookViews>
  <sheets>
    <sheet name="Dashboard" sheetId="10" r:id="rId1"/>
    <sheet name="Pivot Table" sheetId="13" r:id="rId2"/>
    <sheet name="Data Lengkap" sheetId="11" r:id="rId3"/>
    <sheet name="Funnel" sheetId="5" r:id="rId4"/>
  </sheets>
  <definedNames>
    <definedName name="_xlchart.v2.0" hidden="1">Funnel!$A$19:$A$20</definedName>
    <definedName name="_xlchart.v2.1" hidden="1">Funnel!$B$18</definedName>
    <definedName name="_xlchart.v2.10" hidden="1">Funnel!$B$8</definedName>
    <definedName name="_xlchart.v2.11" hidden="1">Funnel!$B$9:$B$10</definedName>
    <definedName name="_xlchart.v2.12" hidden="1">Funnel!$A$14:$A$15</definedName>
    <definedName name="_xlchart.v2.13" hidden="1">Funnel!$B$13</definedName>
    <definedName name="_xlchart.v2.14" hidden="1">Funnel!$B$14:$B$15</definedName>
    <definedName name="_xlchart.v2.15" hidden="1">Funnel!$A$9:$A$10</definedName>
    <definedName name="_xlchart.v2.16" hidden="1">Funnel!$B$8</definedName>
    <definedName name="_xlchart.v2.17" hidden="1">Funnel!$B$9:$B$10</definedName>
    <definedName name="_xlchart.v2.18" hidden="1">Funnel!$A$19:$A$20</definedName>
    <definedName name="_xlchart.v2.19" hidden="1">Funnel!$B$18</definedName>
    <definedName name="_xlchart.v2.2" hidden="1">Funnel!$B$19:$B$20</definedName>
    <definedName name="_xlchart.v2.20" hidden="1">Funnel!$B$19:$B$20</definedName>
    <definedName name="_xlchart.v2.3" hidden="1">Funnel!$A$14:$A$15</definedName>
    <definedName name="_xlchart.v2.4" hidden="1">Funnel!$B$13</definedName>
    <definedName name="_xlchart.v2.5" hidden="1">Funnel!$B$14:$B$15</definedName>
    <definedName name="_xlchart.v2.6" hidden="1">Funnel!$A$9:$A$10</definedName>
    <definedName name="_xlchart.v2.7" hidden="1">Funnel!$B$8</definedName>
    <definedName name="_xlchart.v2.8" hidden="1">Funnel!$B$9:$B$10</definedName>
    <definedName name="_xlchart.v2.9" hidden="1">Funnel!$A$9:$A$10</definedName>
    <definedName name="Slicer_Bulan1">#N/A</definedName>
    <definedName name="Slicer_Kanal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 i="11" l="1"/>
  <c r="G2" i="11" s="1"/>
  <c r="D7" i="11"/>
  <c r="C7" i="11"/>
  <c r="F4" i="11"/>
  <c r="F3" i="11"/>
  <c r="F2" i="11"/>
  <c r="B20" i="5"/>
  <c r="B15" i="5"/>
  <c r="B10" i="5"/>
  <c r="F3" i="5"/>
  <c r="F4" i="5"/>
  <c r="F2" i="5"/>
  <c r="C9" i="11" l="1"/>
  <c r="G3" i="11"/>
  <c r="G4" i="11"/>
</calcChain>
</file>

<file path=xl/sharedStrings.xml><?xml version="1.0" encoding="utf-8"?>
<sst xmlns="http://schemas.openxmlformats.org/spreadsheetml/2006/main" count="55" uniqueCount="25">
  <si>
    <t>Bulan</t>
  </si>
  <si>
    <t>Kanal</t>
  </si>
  <si>
    <t>Tayangan</t>
  </si>
  <si>
    <t>Pendaftaran</t>
  </si>
  <si>
    <t>Revenue</t>
  </si>
  <si>
    <t>Jan</t>
  </si>
  <si>
    <t>Mar</t>
  </si>
  <si>
    <t>YouTube</t>
  </si>
  <si>
    <t>Instagram</t>
  </si>
  <si>
    <t>Row Labels</t>
  </si>
  <si>
    <t>Grand Total</t>
  </si>
  <si>
    <t>Sum of Pendaftaran</t>
  </si>
  <si>
    <t>Nilai</t>
  </si>
  <si>
    <t>LinkedeIn</t>
  </si>
  <si>
    <t xml:space="preserve">Feb </t>
  </si>
  <si>
    <t>Tabel Youtube</t>
  </si>
  <si>
    <t>Tahap</t>
  </si>
  <si>
    <t>Tabel LinkedIn</t>
  </si>
  <si>
    <t>Tabel Instagram</t>
  </si>
  <si>
    <t>Conversion Rate</t>
  </si>
  <si>
    <t>Revenue %</t>
  </si>
  <si>
    <t>Total</t>
  </si>
  <si>
    <t>Average Conversion Rate</t>
  </si>
  <si>
    <t>Sum of Revenue %</t>
  </si>
  <si>
    <t>Sum of Tayangan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</si>
</sst>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quot;Rp&quot;#,##0"/>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1F1F1"/>
        <bgColor indexed="64"/>
      </patternFill>
    </fill>
    <fill>
      <patternFill patternType="solid">
        <fgColor rgb="FFE9EBEA"/>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1"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9" fontId="0" fillId="0" borderId="0" xfId="2" applyFont="1"/>
    <xf numFmtId="0" fontId="0" fillId="0" borderId="1" xfId="0" applyBorder="1"/>
    <xf numFmtId="10" fontId="0" fillId="0" borderId="1" xfId="0" applyNumberFormat="1" applyBorder="1"/>
    <xf numFmtId="164" fontId="0" fillId="0" borderId="1" xfId="0" applyNumberFormat="1" applyBorder="1"/>
    <xf numFmtId="0" fontId="0" fillId="2" borderId="0" xfId="0" applyFill="1"/>
    <xf numFmtId="0" fontId="0" fillId="3" borderId="0" xfId="0" applyFill="1"/>
    <xf numFmtId="41" fontId="0" fillId="0" borderId="1" xfId="1" applyFont="1" applyBorder="1"/>
    <xf numFmtId="0" fontId="0" fillId="0" borderId="3" xfId="0" applyBorder="1"/>
    <xf numFmtId="10" fontId="0" fillId="0" borderId="2" xfId="0"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0" fontId="0" fillId="0" borderId="9" xfId="0" applyNumberFormat="1" applyBorder="1"/>
    <xf numFmtId="10" fontId="0" fillId="0" borderId="5" xfId="0" applyNumberFormat="1" applyBorder="1"/>
    <xf numFmtId="10" fontId="0" fillId="0" borderId="8" xfId="0" applyNumberFormat="1" applyBorder="1"/>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wrapText="1"/>
    </xf>
  </cellXfs>
  <cellStyles count="3">
    <cellStyle name="Comma [0]" xfId="1" builtinId="6"/>
    <cellStyle name="Normal" xfId="0" builtinId="0"/>
    <cellStyle name="Percent" xfId="2" builtinId="5"/>
  </cellStyles>
  <dxfs count="11">
    <dxf>
      <numFmt numFmtId="14" formatCode="0.00%"/>
      <border diagonalUp="0" diagonalDown="0">
        <left style="thin">
          <color indexed="64"/>
        </left>
        <right style="thin">
          <color indexed="64"/>
        </right>
        <top style="thin">
          <color indexed="64"/>
        </top>
        <bottom style="thin">
          <color indexed="64"/>
        </bottom>
        <vertical/>
        <horizontal/>
      </border>
    </dxf>
    <dxf>
      <numFmt numFmtId="14" formatCode="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A3A4A7"/>
      <color rgb="FFE9EBEA"/>
      <color rgb="FFAAD093"/>
      <color rgb="FFF1F1F1"/>
      <color rgb="FF3A67B8"/>
      <color rgb="FFADC1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[EcoBuild.xlsx]Pivot Table!PivotTable56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kern="1200" spc="0" baseline="0">
                <a:solidFill>
                  <a:sysClr val="windowText" lastClr="000000">
                    <a:lumMod val="65000"/>
                    <a:lumOff val="35000"/>
                  </a:sysClr>
                </a:solidFill>
              </a:rPr>
              <a:t>Perbandingan Tayangan dan Pendaftaran </a:t>
            </a:r>
          </a:p>
          <a:p>
            <a:pPr>
              <a:defRPr/>
            </a:pPr>
            <a:r>
              <a:rPr lang="en-ID" sz="1400" b="1" i="0" u="none" strike="noStrike" kern="1200" spc="0" baseline="0">
                <a:solidFill>
                  <a:sysClr val="windowText" lastClr="000000">
                    <a:lumMod val="65000"/>
                    <a:lumOff val="35000"/>
                  </a:sysClr>
                </a:solidFill>
              </a:rPr>
              <a:t>per Bulan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Sum of Tayangan</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Table'!$A$11:$A$14</c:f>
              <c:strCache>
                <c:ptCount val="3"/>
                <c:pt idx="0">
                  <c:v>Jan</c:v>
                </c:pt>
                <c:pt idx="1">
                  <c:v>Mar</c:v>
                </c:pt>
                <c:pt idx="2">
                  <c:v>Feb </c:v>
                </c:pt>
              </c:strCache>
            </c:strRef>
          </c:cat>
          <c:val>
            <c:numRef>
              <c:f>'Pivot Table'!$B$11:$B$14</c:f>
              <c:numCache>
                <c:formatCode>General</c:formatCode>
                <c:ptCount val="3"/>
                <c:pt idx="0">
                  <c:v>6000</c:v>
                </c:pt>
                <c:pt idx="1">
                  <c:v>7000</c:v>
                </c:pt>
                <c:pt idx="2">
                  <c:v>5000</c:v>
                </c:pt>
              </c:numCache>
            </c:numRef>
          </c:val>
          <c:extLst>
            <c:ext xmlns:c16="http://schemas.microsoft.com/office/drawing/2014/chart" uri="{C3380CC4-5D6E-409C-BE32-E72D297353CC}">
              <c16:uniqueId val="{00000000-F25B-41E1-BCA0-193F9FC40690}"/>
            </c:ext>
          </c:extLst>
        </c:ser>
        <c:ser>
          <c:idx val="1"/>
          <c:order val="1"/>
          <c:tx>
            <c:strRef>
              <c:f>'Pivot Table'!$C$10</c:f>
              <c:strCache>
                <c:ptCount val="1"/>
                <c:pt idx="0">
                  <c:v>Sum of Pendaftaran</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Table'!$A$11:$A$14</c:f>
              <c:strCache>
                <c:ptCount val="3"/>
                <c:pt idx="0">
                  <c:v>Jan</c:v>
                </c:pt>
                <c:pt idx="1">
                  <c:v>Mar</c:v>
                </c:pt>
                <c:pt idx="2">
                  <c:v>Feb </c:v>
                </c:pt>
              </c:strCache>
            </c:strRef>
          </c:cat>
          <c:val>
            <c:numRef>
              <c:f>'Pivot Table'!$C$11:$C$14</c:f>
              <c:numCache>
                <c:formatCode>General</c:formatCode>
                <c:ptCount val="3"/>
                <c:pt idx="0">
                  <c:v>300</c:v>
                </c:pt>
                <c:pt idx="1">
                  <c:v>400</c:v>
                </c:pt>
                <c:pt idx="2">
                  <c:v>250</c:v>
                </c:pt>
              </c:numCache>
            </c:numRef>
          </c:val>
          <c:extLst>
            <c:ext xmlns:c16="http://schemas.microsoft.com/office/drawing/2014/chart" uri="{C3380CC4-5D6E-409C-BE32-E72D297353CC}">
              <c16:uniqueId val="{00000001-F25B-41E1-BCA0-193F9FC40690}"/>
            </c:ext>
          </c:extLst>
        </c:ser>
        <c:dLbls>
          <c:dLblPos val="outEnd"/>
          <c:showLegendKey val="0"/>
          <c:showVal val="1"/>
          <c:showCatName val="0"/>
          <c:showSerName val="0"/>
          <c:showPercent val="0"/>
          <c:showBubbleSize val="0"/>
        </c:dLbls>
        <c:gapWidth val="219"/>
        <c:overlap val="-27"/>
        <c:axId val="841075599"/>
        <c:axId val="841081359"/>
      </c:barChart>
      <c:catAx>
        <c:axId val="84107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81359"/>
        <c:crosses val="autoZero"/>
        <c:auto val="1"/>
        <c:lblAlgn val="ctr"/>
        <c:lblOffset val="100"/>
        <c:noMultiLvlLbl val="0"/>
      </c:catAx>
      <c:valAx>
        <c:axId val="84108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7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[EcoBuild.xlsx]Pivot Table!PivotTable55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400" b="1" i="0" u="none" strike="noStrike" kern="1200" spc="0" baseline="0">
                <a:solidFill>
                  <a:sysClr val="windowText" lastClr="000000">
                    <a:lumMod val="65000"/>
                    <a:lumOff val="35000"/>
                  </a:sysClr>
                </a:solidFill>
              </a:rPr>
              <a:t>Kontribusi Revenue per Kanal</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65000"/>
            </a:schemeClr>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hade val="65000"/>
            </a:schemeClr>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tint val="65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65000"/>
            </a:schemeClr>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CCEF-447A-AC83-38A34DD22CE0}"/>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CCEF-447A-AC83-38A34DD22CE0}"/>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CCEF-447A-AC83-38A34DD22CE0}"/>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Instagram</c:v>
                </c:pt>
                <c:pt idx="1">
                  <c:v>LinkedeIn</c:v>
                </c:pt>
                <c:pt idx="2">
                  <c:v>YouTube</c:v>
                </c:pt>
              </c:strCache>
            </c:strRef>
          </c:cat>
          <c:val>
            <c:numRef>
              <c:f>'Pivot Table'!$B$4:$B$7</c:f>
              <c:numCache>
                <c:formatCode>0.00%</c:formatCode>
                <c:ptCount val="3"/>
                <c:pt idx="0">
                  <c:v>0.38709677419354838</c:v>
                </c:pt>
                <c:pt idx="1">
                  <c:v>0.27419354838709675</c:v>
                </c:pt>
                <c:pt idx="2">
                  <c:v>0.33870967741935482</c:v>
                </c:pt>
              </c:numCache>
            </c:numRef>
          </c:val>
          <c:extLst>
            <c:ext xmlns:c16="http://schemas.microsoft.com/office/drawing/2014/chart" uri="{C3380CC4-5D6E-409C-BE32-E72D297353CC}">
              <c16:uniqueId val="{00000006-CCEF-447A-AC83-38A34DD22CE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[EcoBuild.xlsx]Pivot Table!PivotTable55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400" b="1" i="0" u="none" strike="noStrike" kern="1200" spc="0" baseline="0">
                <a:solidFill>
                  <a:sysClr val="windowText" lastClr="000000">
                    <a:lumMod val="65000"/>
                    <a:lumOff val="35000"/>
                  </a:sysClr>
                </a:solidFill>
              </a:rPr>
              <a:t>Kontribusi Revenue per Kanal</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65000"/>
            </a:schemeClr>
          </a:solidFill>
          <a:ln w="19050">
            <a:solidFill>
              <a:schemeClr val="lt1"/>
            </a:solidFill>
          </a:ln>
          <a:effectLst/>
        </c:spPr>
      </c:pivotFmt>
      <c:pivotFmt>
        <c:idx val="2"/>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4-A017-4ACA-92FB-FD34D9013827}"/>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A017-4ACA-92FB-FD34D9013827}"/>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2-A017-4ACA-92FB-FD34D9013827}"/>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4-A017-4ACA-92FB-FD34D9013827}"/>
                </c:ext>
              </c:extLst>
            </c:dLbl>
            <c:dLbl>
              <c:idx val="1"/>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A017-4ACA-92FB-FD34D901382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Instagram</c:v>
                </c:pt>
                <c:pt idx="1">
                  <c:v>LinkedeIn</c:v>
                </c:pt>
                <c:pt idx="2">
                  <c:v>YouTube</c:v>
                </c:pt>
              </c:strCache>
            </c:strRef>
          </c:cat>
          <c:val>
            <c:numRef>
              <c:f>'Pivot Table'!$B$4:$B$7</c:f>
              <c:numCache>
                <c:formatCode>0.00%</c:formatCode>
                <c:ptCount val="3"/>
                <c:pt idx="0">
                  <c:v>0.38709677419354838</c:v>
                </c:pt>
                <c:pt idx="1">
                  <c:v>0.27419354838709675</c:v>
                </c:pt>
                <c:pt idx="2">
                  <c:v>0.33870967741935482</c:v>
                </c:pt>
              </c:numCache>
            </c:numRef>
          </c:val>
          <c:extLst>
            <c:ext xmlns:c16="http://schemas.microsoft.com/office/drawing/2014/chart" uri="{C3380CC4-5D6E-409C-BE32-E72D297353CC}">
              <c16:uniqueId val="{00000000-A017-4ACA-92FB-FD34D901382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[EcoBuild.xlsx]Pivot Table!PivotTable56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kern="1200" spc="0" baseline="0">
                <a:solidFill>
                  <a:sysClr val="windowText" lastClr="000000">
                    <a:lumMod val="65000"/>
                    <a:lumOff val="35000"/>
                  </a:sysClr>
                </a:solidFill>
              </a:rPr>
              <a:t>Perbandingan Tayangan dan Pendaftaran </a:t>
            </a:r>
          </a:p>
          <a:p>
            <a:pPr>
              <a:defRPr/>
            </a:pPr>
            <a:r>
              <a:rPr lang="en-ID" sz="1400" b="1" i="0" u="none" strike="noStrike" kern="1200" spc="0" baseline="0">
                <a:solidFill>
                  <a:sysClr val="windowText" lastClr="000000">
                    <a:lumMod val="65000"/>
                    <a:lumOff val="35000"/>
                  </a:sysClr>
                </a:solidFill>
              </a:rPr>
              <a:t>per Bulan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Sum of Tayangan</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Table'!$A$11:$A$14</c:f>
              <c:strCache>
                <c:ptCount val="3"/>
                <c:pt idx="0">
                  <c:v>Jan</c:v>
                </c:pt>
                <c:pt idx="1">
                  <c:v>Mar</c:v>
                </c:pt>
                <c:pt idx="2">
                  <c:v>Feb </c:v>
                </c:pt>
              </c:strCache>
            </c:strRef>
          </c:cat>
          <c:val>
            <c:numRef>
              <c:f>'Pivot Table'!$B$11:$B$14</c:f>
              <c:numCache>
                <c:formatCode>General</c:formatCode>
                <c:ptCount val="3"/>
                <c:pt idx="0">
                  <c:v>6000</c:v>
                </c:pt>
                <c:pt idx="1">
                  <c:v>7000</c:v>
                </c:pt>
                <c:pt idx="2">
                  <c:v>5000</c:v>
                </c:pt>
              </c:numCache>
            </c:numRef>
          </c:val>
          <c:extLst>
            <c:ext xmlns:c16="http://schemas.microsoft.com/office/drawing/2014/chart" uri="{C3380CC4-5D6E-409C-BE32-E72D297353CC}">
              <c16:uniqueId val="{00000000-197E-4400-9B12-7A4E08E9BB88}"/>
            </c:ext>
          </c:extLst>
        </c:ser>
        <c:ser>
          <c:idx val="1"/>
          <c:order val="1"/>
          <c:tx>
            <c:strRef>
              <c:f>'Pivot Table'!$C$10</c:f>
              <c:strCache>
                <c:ptCount val="1"/>
                <c:pt idx="0">
                  <c:v>Sum of Pendaftaran</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Table'!$A$11:$A$14</c:f>
              <c:strCache>
                <c:ptCount val="3"/>
                <c:pt idx="0">
                  <c:v>Jan</c:v>
                </c:pt>
                <c:pt idx="1">
                  <c:v>Mar</c:v>
                </c:pt>
                <c:pt idx="2">
                  <c:v>Feb </c:v>
                </c:pt>
              </c:strCache>
            </c:strRef>
          </c:cat>
          <c:val>
            <c:numRef>
              <c:f>'Pivot Table'!$C$11:$C$14</c:f>
              <c:numCache>
                <c:formatCode>General</c:formatCode>
                <c:ptCount val="3"/>
                <c:pt idx="0">
                  <c:v>300</c:v>
                </c:pt>
                <c:pt idx="1">
                  <c:v>400</c:v>
                </c:pt>
                <c:pt idx="2">
                  <c:v>250</c:v>
                </c:pt>
              </c:numCache>
            </c:numRef>
          </c:val>
          <c:extLst>
            <c:ext xmlns:c16="http://schemas.microsoft.com/office/drawing/2014/chart" uri="{C3380CC4-5D6E-409C-BE32-E72D297353CC}">
              <c16:uniqueId val="{00000001-197E-4400-9B12-7A4E08E9BB88}"/>
            </c:ext>
          </c:extLst>
        </c:ser>
        <c:dLbls>
          <c:dLblPos val="outEnd"/>
          <c:showLegendKey val="0"/>
          <c:showVal val="1"/>
          <c:showCatName val="0"/>
          <c:showSerName val="0"/>
          <c:showPercent val="0"/>
          <c:showBubbleSize val="0"/>
        </c:dLbls>
        <c:gapWidth val="219"/>
        <c:overlap val="-27"/>
        <c:axId val="841075599"/>
        <c:axId val="841081359"/>
      </c:barChart>
      <c:catAx>
        <c:axId val="84107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81359"/>
        <c:crosses val="autoZero"/>
        <c:auto val="1"/>
        <c:lblAlgn val="ctr"/>
        <c:lblOffset val="100"/>
        <c:noMultiLvlLbl val="0"/>
      </c:catAx>
      <c:valAx>
        <c:axId val="84108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7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Funnel Instagram</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Funnel Instagram</a:t>
          </a:r>
        </a:p>
      </cx:txPr>
    </cx:title>
    <cx:plotArea>
      <cx:plotAreaRegion>
        <cx:series layoutId="funnel" uniqueId="{B738928D-F934-43FC-8B13-CE009A196FA2}">
          <cx:tx>
            <cx:txData>
              <cx:f>_xlchart.v2.1</cx:f>
              <cx:v>Nilai</cx:v>
            </cx:txData>
          </cx:tx>
          <cx:dataLabels>
            <cx:numFmt formatCode="0,00%" sourceLinked="0"/>
            <cx:txPr>
              <a:bodyPr spcFirstLastPara="1" vertOverflow="ellipsis" horzOverflow="overflow" wrap="square" lIns="0" tIns="0" rIns="0" bIns="0" anchor="ctr" anchorCtr="1"/>
              <a:lstStyle/>
              <a:p>
                <a:pPr algn="ctr" rtl="0">
                  <a:defRPr b="0">
                    <a:solidFill>
                      <a:schemeClr val="bg1"/>
                    </a:solidFill>
                  </a:defRPr>
                </a:pPr>
                <a:endParaRPr lang="en-US" sz="900" b="0" i="0" u="none" strike="noStrike" baseline="0">
                  <a:solidFill>
                    <a:schemeClr val="bg1"/>
                  </a:solidFill>
                  <a:latin typeface="Calibri" panose="020F0502020204030204"/>
                </a:endParaRPr>
              </a:p>
            </cx:tx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Funnel Youtube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Funnel Youtube</a:t>
          </a:r>
        </a:p>
      </cx:txPr>
    </cx:title>
    <cx:plotArea>
      <cx:plotAreaRegion>
        <cx:series layoutId="funnel" uniqueId="{4233C2B2-45E4-488A-9074-BE9A0C42020B}">
          <cx:tx>
            <cx:txData>
              <cx:f>_xlchart.v2.7</cx:f>
              <cx:v>Nilai</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Funnel LinkedIn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Funnel LinkedIn</a:t>
          </a:r>
        </a:p>
      </cx:txPr>
    </cx:title>
    <cx:plotArea>
      <cx:plotAreaRegion>
        <cx:series layoutId="funnel" uniqueId="{B9AFCCA8-E556-44E0-9C2D-28C74FE38A18}">
          <cx:tx>
            <cx:txData>
              <cx:f>_xlchart.v2.4</cx:f>
              <cx:v>Nilai</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_xlchart.v2.17</cx:f>
      </cx:numDim>
    </cx:data>
  </cx:chartData>
  <cx:chart>
    <cx:title pos="t" align="ctr" overlay="0">
      <cx:tx>
        <cx:txData>
          <cx:v>Funnel Youtube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Funnel Youtube</a:t>
          </a:r>
        </a:p>
      </cx:txPr>
    </cx:title>
    <cx:plotArea>
      <cx:plotAreaRegion>
        <cx:series layoutId="funnel" uniqueId="{4233C2B2-45E4-488A-9074-BE9A0C42020B}">
          <cx:tx>
            <cx:txData>
              <cx:f>_xlchart.v2.16</cx:f>
              <cx:v>Nilai</cx:v>
            </cx:txData>
          </cx:tx>
          <cx:dataLabels>
            <cx:visibility seriesName="0" categoryName="0" value="1"/>
          </cx:dataLabels>
          <cx:dataId val="0"/>
        </cx:series>
      </cx:plotAreaRegion>
      <cx:axis id="0">
        <cx:catScaling gapWidth="0.0599999987"/>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title pos="t" align="ctr" overlay="0">
      <cx:tx>
        <cx:txData>
          <cx:v>Funnel LinkedIn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Funnel LinkedIn</a:t>
          </a:r>
        </a:p>
      </cx:txPr>
    </cx:title>
    <cx:plotArea>
      <cx:plotAreaRegion>
        <cx:series layoutId="funnel" uniqueId="{B9AFCCA8-E556-44E0-9C2D-28C74FE38A18}">
          <cx:tx>
            <cx:txData>
              <cx:f>_xlchart.v2.13</cx:f>
              <cx:v>Nilai</cx:v>
            </cx:txData>
          </cx:tx>
          <cx:dataLabels>
            <cx:visibility seriesName="0" categoryName="0" value="1"/>
          </cx:dataLabels>
          <cx:dataId val="0"/>
        </cx:series>
      </cx:plotAreaRegion>
      <cx:axis id="0">
        <cx:catScaling gapWidth="0.0599999987"/>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_xlchart.v2.18</cx:f>
      </cx:strDim>
      <cx:numDim type="val">
        <cx:f>_xlchart.v2.20</cx:f>
      </cx:numDim>
    </cx:data>
  </cx:chartData>
  <cx:chart>
    <cx:title pos="t" align="ctr" overlay="0">
      <cx:tx>
        <cx:txData>
          <cx:v>Funnel Instagram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Funnel Instagram</a:t>
          </a:r>
        </a:p>
      </cx:txPr>
    </cx:title>
    <cx:plotArea>
      <cx:plotAreaRegion>
        <cx:series layoutId="funnel" uniqueId="{B738928D-F934-43FC-8B13-CE009A196FA2}">
          <cx:tx>
            <cx:txData>
              <cx:f>_xlchart.v2.19</cx:f>
              <cx:v>Nilai</cx:v>
            </cx:txData>
          </cx:tx>
          <cx:dataLabels>
            <cx:numFmt formatCode="0,00%" sourceLinked="0"/>
            <cx:visibility seriesName="0" categoryName="0" value="1"/>
            <cx:separator>, </cx:separator>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microsoft.com/office/2014/relationships/chartEx" Target="../charts/chartEx6.xml"/><Relationship Id="rId2" Type="http://schemas.microsoft.com/office/2014/relationships/chartEx" Target="../charts/chartEx5.xml"/><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126067</xdr:colOff>
      <xdr:row>35</xdr:row>
      <xdr:rowOff>154081</xdr:rowOff>
    </xdr:from>
    <xdr:to>
      <xdr:col>15</xdr:col>
      <xdr:colOff>489480</xdr:colOff>
      <xdr:row>39</xdr:row>
      <xdr:rowOff>132292</xdr:rowOff>
    </xdr:to>
    <xdr:sp macro="" textlink="">
      <xdr:nvSpPr>
        <xdr:cNvPr id="27" name="Rectangle: Rounded Corners 26">
          <a:extLst>
            <a:ext uri="{FF2B5EF4-FFF2-40B4-BE49-F238E27FC236}">
              <a16:creationId xmlns:a16="http://schemas.microsoft.com/office/drawing/2014/main" id="{F133E715-0D98-95C7-BA87-C8C01327C6F6}"/>
            </a:ext>
          </a:extLst>
        </xdr:cNvPr>
        <xdr:cNvSpPr/>
      </xdr:nvSpPr>
      <xdr:spPr>
        <a:xfrm>
          <a:off x="126067" y="6636373"/>
          <a:ext cx="9491538" cy="719044"/>
        </a:xfrm>
        <a:prstGeom prst="roundRect">
          <a:avLst/>
        </a:prstGeom>
        <a:solidFill>
          <a:srgbClr val="A3A4A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52455</xdr:colOff>
      <xdr:row>0</xdr:row>
      <xdr:rowOff>60638</xdr:rowOff>
    </xdr:from>
    <xdr:to>
      <xdr:col>3</xdr:col>
      <xdr:colOff>563450</xdr:colOff>
      <xdr:row>5</xdr:row>
      <xdr:rowOff>162729</xdr:rowOff>
    </xdr:to>
    <xdr:sp macro="" textlink="'Data Lengkap'!C7">
      <xdr:nvSpPr>
        <xdr:cNvPr id="2" name="Rectangle: Rounded Corners 1">
          <a:extLst>
            <a:ext uri="{FF2B5EF4-FFF2-40B4-BE49-F238E27FC236}">
              <a16:creationId xmlns:a16="http://schemas.microsoft.com/office/drawing/2014/main" id="{EFEBD925-221A-EAB9-365B-B5C1518AF5E4}"/>
            </a:ext>
          </a:extLst>
        </xdr:cNvPr>
        <xdr:cNvSpPr/>
      </xdr:nvSpPr>
      <xdr:spPr>
        <a:xfrm>
          <a:off x="52455" y="60638"/>
          <a:ext cx="2322087" cy="1041176"/>
        </a:xfrm>
        <a:prstGeom prst="roundRect">
          <a:avLst/>
        </a:prstGeom>
        <a:solidFill>
          <a:srgbClr val="AAD09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8BD7FA3-71E1-4012-ACB5-406BCA84DB35}" type="TxLink">
            <a:rPr lang="en-US" sz="2400" b="1" i="0" u="none" strike="noStrike">
              <a:solidFill>
                <a:schemeClr val="bg1"/>
              </a:solidFill>
              <a:latin typeface="Calibri"/>
              <a:ea typeface="Calibri"/>
              <a:cs typeface="Calibri"/>
            </a:rPr>
            <a:pPr algn="ctr"/>
            <a:t> 18.000 </a:t>
          </a:fld>
          <a:endParaRPr lang="en-ID" sz="8000" b="1">
            <a:solidFill>
              <a:schemeClr val="bg1"/>
            </a:solidFill>
          </a:endParaRPr>
        </a:p>
      </xdr:txBody>
    </xdr:sp>
    <xdr:clientData/>
  </xdr:twoCellAnchor>
  <xdr:twoCellAnchor>
    <xdr:from>
      <xdr:col>0</xdr:col>
      <xdr:colOff>268310</xdr:colOff>
      <xdr:row>0</xdr:row>
      <xdr:rowOff>181779</xdr:rowOff>
    </xdr:from>
    <xdr:to>
      <xdr:col>3</xdr:col>
      <xdr:colOff>308555</xdr:colOff>
      <xdr:row>3</xdr:row>
      <xdr:rowOff>41587</xdr:rowOff>
    </xdr:to>
    <xdr:sp macro="" textlink="">
      <xdr:nvSpPr>
        <xdr:cNvPr id="6" name="TextBox 5">
          <a:extLst>
            <a:ext uri="{FF2B5EF4-FFF2-40B4-BE49-F238E27FC236}">
              <a16:creationId xmlns:a16="http://schemas.microsoft.com/office/drawing/2014/main" id="{4151B5DB-901A-3107-392E-F51CD0AE78C4}"/>
            </a:ext>
          </a:extLst>
        </xdr:cNvPr>
        <xdr:cNvSpPr txBox="1"/>
      </xdr:nvSpPr>
      <xdr:spPr>
        <a:xfrm>
          <a:off x="268310" y="181779"/>
          <a:ext cx="1851337" cy="423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1"/>
            <a:t>Total</a:t>
          </a:r>
          <a:r>
            <a:rPr lang="en-ID" sz="2000" b="1" baseline="0"/>
            <a:t> Tayangan</a:t>
          </a:r>
          <a:endParaRPr lang="en-ID" sz="2000" b="1"/>
        </a:p>
      </xdr:txBody>
    </xdr:sp>
    <xdr:clientData/>
  </xdr:twoCellAnchor>
  <xdr:twoCellAnchor>
    <xdr:from>
      <xdr:col>4</xdr:col>
      <xdr:colOff>21749</xdr:colOff>
      <xdr:row>0</xdr:row>
      <xdr:rowOff>51113</xdr:rowOff>
    </xdr:from>
    <xdr:to>
      <xdr:col>7</xdr:col>
      <xdr:colOff>532658</xdr:colOff>
      <xdr:row>5</xdr:row>
      <xdr:rowOff>153204</xdr:rowOff>
    </xdr:to>
    <xdr:sp macro="" textlink="'Data Lengkap'!D7">
      <xdr:nvSpPr>
        <xdr:cNvPr id="8" name="Rectangle: Rounded Corners 7">
          <a:extLst>
            <a:ext uri="{FF2B5EF4-FFF2-40B4-BE49-F238E27FC236}">
              <a16:creationId xmlns:a16="http://schemas.microsoft.com/office/drawing/2014/main" id="{311DE3E7-6738-0C97-551A-027845C1ED53}"/>
            </a:ext>
          </a:extLst>
        </xdr:cNvPr>
        <xdr:cNvSpPr/>
      </xdr:nvSpPr>
      <xdr:spPr>
        <a:xfrm>
          <a:off x="2436538" y="51113"/>
          <a:ext cx="2322000" cy="1041176"/>
        </a:xfrm>
        <a:prstGeom prst="roundRect">
          <a:avLst/>
        </a:prstGeom>
        <a:solidFill>
          <a:srgbClr val="AAD09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74F4045-E364-4E55-9ABB-5A9296CCECB2}" type="TxLink">
            <a:rPr lang="en-US" sz="2400" b="1" i="0" u="none" strike="noStrike">
              <a:solidFill>
                <a:schemeClr val="bg1"/>
              </a:solidFill>
              <a:latin typeface="Calibri"/>
              <a:ea typeface="Calibri"/>
              <a:cs typeface="Calibri"/>
            </a:rPr>
            <a:pPr algn="ctr"/>
            <a:t> 950 </a:t>
          </a:fld>
          <a:endParaRPr lang="en-ID" sz="4800" b="1">
            <a:solidFill>
              <a:schemeClr val="bg1"/>
            </a:solidFill>
          </a:endParaRPr>
        </a:p>
      </xdr:txBody>
    </xdr:sp>
    <xdr:clientData/>
  </xdr:twoCellAnchor>
  <xdr:twoCellAnchor>
    <xdr:from>
      <xdr:col>4</xdr:col>
      <xdr:colOff>65881</xdr:colOff>
      <xdr:row>0</xdr:row>
      <xdr:rowOff>172254</xdr:rowOff>
    </xdr:from>
    <xdr:to>
      <xdr:col>7</xdr:col>
      <xdr:colOff>389051</xdr:colOff>
      <xdr:row>3</xdr:row>
      <xdr:rowOff>32062</xdr:rowOff>
    </xdr:to>
    <xdr:sp macro="" textlink="">
      <xdr:nvSpPr>
        <xdr:cNvPr id="9" name="TextBox 8">
          <a:extLst>
            <a:ext uri="{FF2B5EF4-FFF2-40B4-BE49-F238E27FC236}">
              <a16:creationId xmlns:a16="http://schemas.microsoft.com/office/drawing/2014/main" id="{FF76D409-2FFE-1EE9-AC5E-C9DBC75FA41C}"/>
            </a:ext>
          </a:extLst>
        </xdr:cNvPr>
        <xdr:cNvSpPr txBox="1"/>
      </xdr:nvSpPr>
      <xdr:spPr>
        <a:xfrm>
          <a:off x="2480670" y="172254"/>
          <a:ext cx="2134261" cy="423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1"/>
            <a:t>Total</a:t>
          </a:r>
          <a:r>
            <a:rPr lang="en-ID" sz="2000" b="1" baseline="0"/>
            <a:t> Pendaftaran</a:t>
          </a:r>
          <a:endParaRPr lang="en-ID" sz="2000" b="1"/>
        </a:p>
      </xdr:txBody>
    </xdr:sp>
    <xdr:clientData/>
  </xdr:twoCellAnchor>
  <xdr:twoCellAnchor>
    <xdr:from>
      <xdr:col>8</xdr:col>
      <xdr:colOff>4441</xdr:colOff>
      <xdr:row>0</xdr:row>
      <xdr:rowOff>41588</xdr:rowOff>
    </xdr:from>
    <xdr:to>
      <xdr:col>11</xdr:col>
      <xdr:colOff>515349</xdr:colOff>
      <xdr:row>5</xdr:row>
      <xdr:rowOff>143679</xdr:rowOff>
    </xdr:to>
    <xdr:sp macro="" textlink="'Data Lengkap'!E7">
      <xdr:nvSpPr>
        <xdr:cNvPr id="10" name="Rectangle: Rounded Corners 9">
          <a:extLst>
            <a:ext uri="{FF2B5EF4-FFF2-40B4-BE49-F238E27FC236}">
              <a16:creationId xmlns:a16="http://schemas.microsoft.com/office/drawing/2014/main" id="{149DCED6-2113-2531-EAF4-07C0A963F3ED}"/>
            </a:ext>
          </a:extLst>
        </xdr:cNvPr>
        <xdr:cNvSpPr/>
      </xdr:nvSpPr>
      <xdr:spPr>
        <a:xfrm>
          <a:off x="4834018" y="41588"/>
          <a:ext cx="2322000" cy="1041176"/>
        </a:xfrm>
        <a:prstGeom prst="roundRect">
          <a:avLst/>
        </a:prstGeom>
        <a:solidFill>
          <a:srgbClr val="AAD09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B30DA6-27B1-4439-8FE8-08DF17DFF1B6}" type="TxLink">
            <a:rPr lang="en-US" sz="2400" b="1" i="0" u="none" strike="noStrike">
              <a:solidFill>
                <a:schemeClr val="bg1"/>
              </a:solidFill>
              <a:latin typeface="Calibri"/>
              <a:ea typeface="Calibri"/>
              <a:cs typeface="Calibri"/>
            </a:rPr>
            <a:pPr algn="ctr"/>
            <a:t>Rp62.000.000</a:t>
          </a:fld>
          <a:endParaRPr lang="en-ID" sz="2400" b="1">
            <a:solidFill>
              <a:schemeClr val="bg1"/>
            </a:solidFill>
          </a:endParaRPr>
        </a:p>
      </xdr:txBody>
    </xdr:sp>
    <xdr:clientData/>
  </xdr:twoCellAnchor>
  <xdr:twoCellAnchor>
    <xdr:from>
      <xdr:col>8</xdr:col>
      <xdr:colOff>303471</xdr:colOff>
      <xdr:row>0</xdr:row>
      <xdr:rowOff>162729</xdr:rowOff>
    </xdr:from>
    <xdr:to>
      <xdr:col>11</xdr:col>
      <xdr:colOff>254895</xdr:colOff>
      <xdr:row>3</xdr:row>
      <xdr:rowOff>22537</xdr:rowOff>
    </xdr:to>
    <xdr:sp macro="" textlink="">
      <xdr:nvSpPr>
        <xdr:cNvPr id="11" name="TextBox 10">
          <a:extLst>
            <a:ext uri="{FF2B5EF4-FFF2-40B4-BE49-F238E27FC236}">
              <a16:creationId xmlns:a16="http://schemas.microsoft.com/office/drawing/2014/main" id="{B8231D9F-1634-2055-8020-34FEAF3F1AF6}"/>
            </a:ext>
          </a:extLst>
        </xdr:cNvPr>
        <xdr:cNvSpPr txBox="1"/>
      </xdr:nvSpPr>
      <xdr:spPr>
        <a:xfrm>
          <a:off x="5133048" y="162729"/>
          <a:ext cx="1762516" cy="423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1"/>
            <a:t>Total</a:t>
          </a:r>
          <a:r>
            <a:rPr lang="en-ID" sz="2000" b="1" baseline="0"/>
            <a:t> Revenue</a:t>
          </a:r>
          <a:endParaRPr lang="en-ID" sz="2000" b="1"/>
        </a:p>
      </xdr:txBody>
    </xdr:sp>
    <xdr:clientData/>
  </xdr:twoCellAnchor>
  <xdr:twoCellAnchor>
    <xdr:from>
      <xdr:col>11</xdr:col>
      <xdr:colOff>577407</xdr:colOff>
      <xdr:row>0</xdr:row>
      <xdr:rowOff>45479</xdr:rowOff>
    </xdr:from>
    <xdr:to>
      <xdr:col>15</xdr:col>
      <xdr:colOff>484618</xdr:colOff>
      <xdr:row>5</xdr:row>
      <xdr:rowOff>147570</xdr:rowOff>
    </xdr:to>
    <xdr:sp macro="" textlink="'Data Lengkap'!C9">
      <xdr:nvSpPr>
        <xdr:cNvPr id="12" name="Rectangle: Rounded Corners 11">
          <a:extLst>
            <a:ext uri="{FF2B5EF4-FFF2-40B4-BE49-F238E27FC236}">
              <a16:creationId xmlns:a16="http://schemas.microsoft.com/office/drawing/2014/main" id="{D693C597-CFDE-81F7-D204-0174B71078C6}"/>
            </a:ext>
          </a:extLst>
        </xdr:cNvPr>
        <xdr:cNvSpPr/>
      </xdr:nvSpPr>
      <xdr:spPr>
        <a:xfrm>
          <a:off x="7218076" y="45479"/>
          <a:ext cx="2322000" cy="1041176"/>
        </a:xfrm>
        <a:prstGeom prst="roundRect">
          <a:avLst/>
        </a:prstGeom>
        <a:solidFill>
          <a:srgbClr val="AAD09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DBFBD6-5009-4E87-8B5B-2A0D662F16BF}" type="TxLink">
            <a:rPr lang="en-US" sz="2400" b="1" i="0" u="none" strike="noStrike">
              <a:solidFill>
                <a:schemeClr val="bg1"/>
              </a:solidFill>
              <a:latin typeface="Calibri"/>
              <a:ea typeface="Calibri"/>
              <a:cs typeface="Calibri"/>
            </a:rPr>
            <a:pPr algn="ctr"/>
            <a:t>5,28%</a:t>
          </a:fld>
          <a:endParaRPr lang="en-ID" sz="2400" b="1">
            <a:solidFill>
              <a:schemeClr val="bg1"/>
            </a:solidFill>
          </a:endParaRPr>
        </a:p>
      </xdr:txBody>
    </xdr:sp>
    <xdr:clientData/>
  </xdr:twoCellAnchor>
  <xdr:twoCellAnchor>
    <xdr:from>
      <xdr:col>11</xdr:col>
      <xdr:colOff>541055</xdr:colOff>
      <xdr:row>0</xdr:row>
      <xdr:rowOff>153204</xdr:rowOff>
    </xdr:from>
    <xdr:to>
      <xdr:col>15</xdr:col>
      <xdr:colOff>509795</xdr:colOff>
      <xdr:row>3</xdr:row>
      <xdr:rowOff>13012</xdr:rowOff>
    </xdr:to>
    <xdr:sp macro="" textlink="">
      <xdr:nvSpPr>
        <xdr:cNvPr id="13" name="TextBox 12">
          <a:extLst>
            <a:ext uri="{FF2B5EF4-FFF2-40B4-BE49-F238E27FC236}">
              <a16:creationId xmlns:a16="http://schemas.microsoft.com/office/drawing/2014/main" id="{4ABE4302-BF95-BB8A-61EB-45D08547BDED}"/>
            </a:ext>
          </a:extLst>
        </xdr:cNvPr>
        <xdr:cNvSpPr txBox="1"/>
      </xdr:nvSpPr>
      <xdr:spPr>
        <a:xfrm>
          <a:off x="7181724" y="153204"/>
          <a:ext cx="2383529" cy="423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1"/>
            <a:t>Avg Conversion Rate</a:t>
          </a:r>
        </a:p>
      </xdr:txBody>
    </xdr:sp>
    <xdr:clientData/>
  </xdr:twoCellAnchor>
  <xdr:twoCellAnchor>
    <xdr:from>
      <xdr:col>2</xdr:col>
      <xdr:colOff>425286</xdr:colOff>
      <xdr:row>26</xdr:row>
      <xdr:rowOff>115069</xdr:rowOff>
    </xdr:from>
    <xdr:to>
      <xdr:col>15</xdr:col>
      <xdr:colOff>452634</xdr:colOff>
      <xdr:row>34</xdr:row>
      <xdr:rowOff>148213</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7B199189-6C64-4A98-B9A2-96722EB83F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41393" y="5049792"/>
              <a:ext cx="7932044" cy="1551521"/>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422659</xdr:colOff>
      <xdr:row>18</xdr:row>
      <xdr:rowOff>38007</xdr:rowOff>
    </xdr:from>
    <xdr:to>
      <xdr:col>9</xdr:col>
      <xdr:colOff>46945</xdr:colOff>
      <xdr:row>26</xdr:row>
      <xdr:rowOff>71940</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ACF00D5A-CD27-472A-8BD0-356DC9622E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44734" y="3434658"/>
              <a:ext cx="3901551" cy="1543556"/>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211187</xdr:colOff>
      <xdr:row>18</xdr:row>
      <xdr:rowOff>43125</xdr:rowOff>
    </xdr:from>
    <xdr:to>
      <xdr:col>15</xdr:col>
      <xdr:colOff>453047</xdr:colOff>
      <xdr:row>26</xdr:row>
      <xdr:rowOff>77058</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DB30737-1DE6-4FEC-B22C-49A5054778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713805" y="3518463"/>
              <a:ext cx="3910272" cy="1578527"/>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200527</xdr:colOff>
      <xdr:row>7</xdr:row>
      <xdr:rowOff>19027</xdr:rowOff>
    </xdr:from>
    <xdr:to>
      <xdr:col>15</xdr:col>
      <xdr:colOff>451739</xdr:colOff>
      <xdr:row>17</xdr:row>
      <xdr:rowOff>169627</xdr:rowOff>
    </xdr:to>
    <xdr:graphicFrame macro="">
      <xdr:nvGraphicFramePr>
        <xdr:cNvPr id="22" name="Chart 21">
          <a:extLst>
            <a:ext uri="{FF2B5EF4-FFF2-40B4-BE49-F238E27FC236}">
              <a16:creationId xmlns:a16="http://schemas.microsoft.com/office/drawing/2014/main" id="{058D7C96-EB25-4868-B111-348874E70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434105</xdr:colOff>
      <xdr:row>7</xdr:row>
      <xdr:rowOff>27929</xdr:rowOff>
    </xdr:from>
    <xdr:to>
      <xdr:col>9</xdr:col>
      <xdr:colOff>42375</xdr:colOff>
      <xdr:row>17</xdr:row>
      <xdr:rowOff>178038</xdr:rowOff>
    </xdr:to>
    <xdr:graphicFrame macro="">
      <xdr:nvGraphicFramePr>
        <xdr:cNvPr id="23" name="Chart 22">
          <a:extLst>
            <a:ext uri="{FF2B5EF4-FFF2-40B4-BE49-F238E27FC236}">
              <a16:creationId xmlns:a16="http://schemas.microsoft.com/office/drawing/2014/main" id="{030F5B79-9F8D-4D57-99C4-C214125BC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79480</xdr:colOff>
      <xdr:row>15</xdr:row>
      <xdr:rowOff>177739</xdr:rowOff>
    </xdr:from>
    <xdr:to>
      <xdr:col>2</xdr:col>
      <xdr:colOff>258086</xdr:colOff>
      <xdr:row>22</xdr:row>
      <xdr:rowOff>42830</xdr:rowOff>
    </xdr:to>
    <mc:AlternateContent xmlns:mc="http://schemas.openxmlformats.org/markup-compatibility/2006">
      <mc:Choice xmlns:a14="http://schemas.microsoft.com/office/drawing/2010/main" Requires="a14">
        <xdr:graphicFrame macro="">
          <xdr:nvGraphicFramePr>
            <xdr:cNvPr id="24" name="Bulan 3">
              <a:extLst>
                <a:ext uri="{FF2B5EF4-FFF2-40B4-BE49-F238E27FC236}">
                  <a16:creationId xmlns:a16="http://schemas.microsoft.com/office/drawing/2014/main" id="{5B3F777D-770E-43A4-8F80-D9774A6E7405}"/>
                </a:ext>
              </a:extLst>
            </xdr:cNvPr>
            <xdr:cNvGraphicFramePr/>
          </xdr:nvGraphicFramePr>
          <xdr:xfrm>
            <a:off x="0" y="0"/>
            <a:ext cx="0" cy="0"/>
          </xdr:xfrm>
          <a:graphic>
            <a:graphicData uri="http://schemas.microsoft.com/office/drawing/2010/slicer">
              <sle:slicer xmlns:sle="http://schemas.microsoft.com/office/drawing/2010/slicer" name="Bulan 3"/>
            </a:graphicData>
          </a:graphic>
        </xdr:graphicFrame>
      </mc:Choice>
      <mc:Fallback>
        <xdr:sp macro="" textlink="">
          <xdr:nvSpPr>
            <xdr:cNvPr id="0" name=""/>
            <xdr:cNvSpPr>
              <a:spLocks noTextEdit="1"/>
            </xdr:cNvSpPr>
          </xdr:nvSpPr>
          <xdr:spPr>
            <a:xfrm>
              <a:off x="79480" y="3035239"/>
              <a:ext cx="1403249" cy="119859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89458</xdr:colOff>
      <xdr:row>7</xdr:row>
      <xdr:rowOff>31721</xdr:rowOff>
    </xdr:from>
    <xdr:to>
      <xdr:col>2</xdr:col>
      <xdr:colOff>268310</xdr:colOff>
      <xdr:row>13</xdr:row>
      <xdr:rowOff>80493</xdr:rowOff>
    </xdr:to>
    <mc:AlternateContent xmlns:mc="http://schemas.openxmlformats.org/markup-compatibility/2006">
      <mc:Choice xmlns:a14="http://schemas.microsoft.com/office/drawing/2010/main" Requires="a14">
        <xdr:graphicFrame macro="">
          <xdr:nvGraphicFramePr>
            <xdr:cNvPr id="26" name="Kanal 3">
              <a:extLst>
                <a:ext uri="{FF2B5EF4-FFF2-40B4-BE49-F238E27FC236}">
                  <a16:creationId xmlns:a16="http://schemas.microsoft.com/office/drawing/2014/main" id="{E5F63336-C5FB-4E35-8655-875892BF9B68}"/>
                </a:ext>
              </a:extLst>
            </xdr:cNvPr>
            <xdr:cNvGraphicFramePr/>
          </xdr:nvGraphicFramePr>
          <xdr:xfrm>
            <a:off x="0" y="0"/>
            <a:ext cx="0" cy="0"/>
          </xdr:xfrm>
          <a:graphic>
            <a:graphicData uri="http://schemas.microsoft.com/office/drawing/2010/slicer">
              <sle:slicer xmlns:sle="http://schemas.microsoft.com/office/drawing/2010/slicer" name="Kanal 3"/>
            </a:graphicData>
          </a:graphic>
        </xdr:graphicFrame>
      </mc:Choice>
      <mc:Fallback>
        <xdr:sp macro="" textlink="">
          <xdr:nvSpPr>
            <xdr:cNvPr id="0" name=""/>
            <xdr:cNvSpPr>
              <a:spLocks noTextEdit="1"/>
            </xdr:cNvSpPr>
          </xdr:nvSpPr>
          <xdr:spPr>
            <a:xfrm>
              <a:off x="89458" y="1365221"/>
              <a:ext cx="1403495" cy="11917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305448</xdr:colOff>
      <xdr:row>35</xdr:row>
      <xdr:rowOff>133862</xdr:rowOff>
    </xdr:from>
    <xdr:to>
      <xdr:col>16</xdr:col>
      <xdr:colOff>264582</xdr:colOff>
      <xdr:row>41</xdr:row>
      <xdr:rowOff>20694</xdr:rowOff>
    </xdr:to>
    <xdr:sp macro="" textlink="">
      <xdr:nvSpPr>
        <xdr:cNvPr id="28" name="Rectangle 27">
          <a:extLst>
            <a:ext uri="{FF2B5EF4-FFF2-40B4-BE49-F238E27FC236}">
              <a16:creationId xmlns:a16="http://schemas.microsoft.com/office/drawing/2014/main" id="{77DFF33E-A547-2959-FC31-1B5E6EB3D8A8}"/>
            </a:ext>
          </a:extLst>
        </xdr:cNvPr>
        <xdr:cNvSpPr/>
      </xdr:nvSpPr>
      <xdr:spPr>
        <a:xfrm>
          <a:off x="305448" y="6616154"/>
          <a:ext cx="9695801" cy="9980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b="1"/>
            <a:t>Insight:</a:t>
          </a:r>
        </a:p>
        <a:p>
          <a:pPr algn="l"/>
          <a:r>
            <a:rPr lang="en-ID" b="1"/>
            <a:t>1). Instagram merupakan kanal paling efektif dengan kontribusi revenue terbesar dan conversion rate tertinggi.</a:t>
          </a:r>
          <a:br>
            <a:rPr lang="en-ID" b="1"/>
          </a:br>
          <a:r>
            <a:rPr lang="en-ID" b="1"/>
            <a:t>2). Konversi antar kanal relatif stabil, sehingga peningkatan tayangan berpotensi langsung meningkatkan pendaftaran dan revenue.</a:t>
          </a:r>
          <a:endParaRPr lang="en-ID"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37697</xdr:colOff>
      <xdr:row>0</xdr:row>
      <xdr:rowOff>68821</xdr:rowOff>
    </xdr:from>
    <xdr:to>
      <xdr:col>10</xdr:col>
      <xdr:colOff>342497</xdr:colOff>
      <xdr:row>14</xdr:row>
      <xdr:rowOff>145020</xdr:rowOff>
    </xdr:to>
    <xdr:graphicFrame macro="">
      <xdr:nvGraphicFramePr>
        <xdr:cNvPr id="2" name="Chart 1">
          <a:extLst>
            <a:ext uri="{FF2B5EF4-FFF2-40B4-BE49-F238E27FC236}">
              <a16:creationId xmlns:a16="http://schemas.microsoft.com/office/drawing/2014/main" id="{9C87FD3E-D4C2-EAD2-9050-A8FF18326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309898</xdr:colOff>
      <xdr:row>16</xdr:row>
      <xdr:rowOff>57149</xdr:rowOff>
    </xdr:from>
    <xdr:to>
      <xdr:col>4</xdr:col>
      <xdr:colOff>456127</xdr:colOff>
      <xdr:row>33</xdr:row>
      <xdr:rowOff>80492</xdr:rowOff>
    </xdr:to>
    <xdr:graphicFrame macro="">
      <xdr:nvGraphicFramePr>
        <xdr:cNvPr id="3" name="Chart 2">
          <a:extLst>
            <a:ext uri="{FF2B5EF4-FFF2-40B4-BE49-F238E27FC236}">
              <a16:creationId xmlns:a16="http://schemas.microsoft.com/office/drawing/2014/main" id="{C0D2D4B2-8787-8BC5-CE12-5F8CD0CC3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283196</xdr:colOff>
      <xdr:row>16</xdr:row>
      <xdr:rowOff>129619</xdr:rowOff>
    </xdr:from>
    <xdr:to>
      <xdr:col>9</xdr:col>
      <xdr:colOff>285553</xdr:colOff>
      <xdr:row>21</xdr:row>
      <xdr:rowOff>117837</xdr:rowOff>
    </xdr:to>
    <mc:AlternateContent xmlns:mc="http://schemas.openxmlformats.org/markup-compatibility/2006" xmlns:a14="http://schemas.microsoft.com/office/drawing/2010/main">
      <mc:Choice Requires="a14">
        <xdr:graphicFrame macro="">
          <xdr:nvGraphicFramePr>
            <xdr:cNvPr id="4" name="Bulan 2">
              <a:extLst>
                <a:ext uri="{FF2B5EF4-FFF2-40B4-BE49-F238E27FC236}">
                  <a16:creationId xmlns:a16="http://schemas.microsoft.com/office/drawing/2014/main" id="{F7E47D65-DCBB-AE25-ABA9-BF950F8DF3F0}"/>
                </a:ext>
              </a:extLst>
            </xdr:cNvPr>
            <xdr:cNvGraphicFramePr/>
          </xdr:nvGraphicFramePr>
          <xdr:xfrm>
            <a:off x="0" y="0"/>
            <a:ext cx="0" cy="0"/>
          </xdr:xfrm>
          <a:graphic>
            <a:graphicData uri="http://schemas.microsoft.com/office/drawing/2010/slicer">
              <sle:slicer xmlns:sle="http://schemas.microsoft.com/office/drawing/2010/slicer" name="Bulan 2"/>
            </a:graphicData>
          </a:graphic>
        </xdr:graphicFrame>
      </mc:Choice>
      <mc:Fallback xmlns="">
        <xdr:sp macro="" textlink="">
          <xdr:nvSpPr>
            <xdr:cNvPr id="0" name=""/>
            <xdr:cNvSpPr>
              <a:spLocks noTextEdit="1"/>
            </xdr:cNvSpPr>
          </xdr:nvSpPr>
          <xdr:spPr>
            <a:xfrm>
              <a:off x="5409021" y="3114774"/>
              <a:ext cx="1828800" cy="92107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553235</xdr:colOff>
      <xdr:row>11</xdr:row>
      <xdr:rowOff>6874</xdr:rowOff>
    </xdr:from>
    <xdr:to>
      <xdr:col>13</xdr:col>
      <xdr:colOff>555591</xdr:colOff>
      <xdr:row>15</xdr:row>
      <xdr:rowOff>182186</xdr:rowOff>
    </xdr:to>
    <mc:AlternateContent xmlns:mc="http://schemas.openxmlformats.org/markup-compatibility/2006" xmlns:a14="http://schemas.microsoft.com/office/drawing/2010/main">
      <mc:Choice Requires="a14">
        <xdr:graphicFrame macro="">
          <xdr:nvGraphicFramePr>
            <xdr:cNvPr id="5" name="Kanal 2">
              <a:extLst>
                <a:ext uri="{FF2B5EF4-FFF2-40B4-BE49-F238E27FC236}">
                  <a16:creationId xmlns:a16="http://schemas.microsoft.com/office/drawing/2014/main" id="{BF4399FC-6F80-934B-2979-1FFB9E1CEDC0}"/>
                </a:ext>
              </a:extLst>
            </xdr:cNvPr>
            <xdr:cNvGraphicFramePr/>
          </xdr:nvGraphicFramePr>
          <xdr:xfrm>
            <a:off x="0" y="0"/>
            <a:ext cx="0" cy="0"/>
          </xdr:xfrm>
          <a:graphic>
            <a:graphicData uri="http://schemas.microsoft.com/office/drawing/2010/slicer">
              <sle:slicer xmlns:sle="http://schemas.microsoft.com/office/drawing/2010/slicer" name="Kanal 2"/>
            </a:graphicData>
          </a:graphic>
        </xdr:graphicFrame>
      </mc:Choice>
      <mc:Fallback xmlns="">
        <xdr:sp macro="" textlink="">
          <xdr:nvSpPr>
            <xdr:cNvPr id="0" name=""/>
            <xdr:cNvSpPr>
              <a:spLocks noTextEdit="1"/>
            </xdr:cNvSpPr>
          </xdr:nvSpPr>
          <xdr:spPr>
            <a:xfrm>
              <a:off x="8114317" y="2059168"/>
              <a:ext cx="1828800" cy="921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346814</xdr:colOff>
      <xdr:row>1</xdr:row>
      <xdr:rowOff>39030</xdr:rowOff>
    </xdr:from>
    <xdr:to>
      <xdr:col>14</xdr:col>
      <xdr:colOff>42203</xdr:colOff>
      <xdr:row>15</xdr:row>
      <xdr:rowOff>71865</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F5288A9F-FDC7-6219-869D-E28974D9F0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28364" y="229530"/>
              <a:ext cx="4572189" cy="269983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224056</xdr:colOff>
      <xdr:row>8</xdr:row>
      <xdr:rowOff>140494</xdr:rowOff>
    </xdr:from>
    <xdr:to>
      <xdr:col>20</xdr:col>
      <xdr:colOff>544442</xdr:colOff>
      <xdr:row>23</xdr:row>
      <xdr:rowOff>26193</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C7BB9E82-9D7A-7F23-EDA7-AB685FDAEB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272806" y="1664494"/>
              <a:ext cx="4587586" cy="2743199"/>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181841</xdr:colOff>
      <xdr:row>19</xdr:row>
      <xdr:rowOff>30091</xdr:rowOff>
    </xdr:from>
    <xdr:to>
      <xdr:col>10</xdr:col>
      <xdr:colOff>400483</xdr:colOff>
      <xdr:row>33</xdr:row>
      <xdr:rowOff>45677</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DA25ACA9-A5E0-0D14-19FA-91BCB5CA7D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48691" y="3649591"/>
              <a:ext cx="5971742" cy="2682586"/>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66.993891087965" createdVersion="8" refreshedVersion="8" minRefreshableVersion="3" recordCount="3" xr:uid="{9550A67A-28CB-4F06-8C83-CF3CB9BC62F6}">
  <cacheSource type="worksheet">
    <worksheetSource name="Table4"/>
  </cacheSource>
  <cacheFields count="7">
    <cacheField name="Bulan" numFmtId="0">
      <sharedItems count="3">
        <s v="Jan"/>
        <s v="Feb "/>
        <s v="Mar"/>
      </sharedItems>
    </cacheField>
    <cacheField name="Kanal" numFmtId="0">
      <sharedItems count="3">
        <s v="YouTube"/>
        <s v="LinkedeIn"/>
        <s v="Instagram"/>
      </sharedItems>
    </cacheField>
    <cacheField name="Tayangan" numFmtId="0">
      <sharedItems containsSemiMixedTypes="0" containsString="0" containsNumber="1" containsInteger="1" minValue="5000" maxValue="7000"/>
    </cacheField>
    <cacheField name="Pendaftaran" numFmtId="0">
      <sharedItems containsSemiMixedTypes="0" containsString="0" containsNumber="1" containsInteger="1" minValue="250" maxValue="400"/>
    </cacheField>
    <cacheField name="Revenue" numFmtId="0">
      <sharedItems containsSemiMixedTypes="0" containsString="0" containsNumber="1" containsInteger="1" minValue="17000000" maxValue="24000000"/>
    </cacheField>
    <cacheField name="Conversion Rate" numFmtId="10">
      <sharedItems containsSemiMixedTypes="0" containsString="0" containsNumber="1" minValue="0.05" maxValue="5.7142857142857141E-2"/>
    </cacheField>
    <cacheField name="Revenue %" numFmtId="10">
      <sharedItems containsSemiMixedTypes="0" containsString="0" containsNumber="1" minValue="0.27419354838709675" maxValue="0.38709677419354838"/>
    </cacheField>
  </cacheFields>
  <extLst>
    <ext xmlns:x14="http://schemas.microsoft.com/office/spreadsheetml/2009/9/main" uri="{725AE2AE-9491-48be-B2B4-4EB974FC3084}">
      <x14:pivotCacheDefinition pivotCacheId="1395687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6000"/>
    <n v="300"/>
    <n v="21000000"/>
    <n v="0.05"/>
    <n v="0.33870967741935482"/>
  </r>
  <r>
    <x v="1"/>
    <x v="1"/>
    <n v="5000"/>
    <n v="250"/>
    <n v="17000000"/>
    <n v="0.05"/>
    <n v="0.27419354838709675"/>
  </r>
  <r>
    <x v="2"/>
    <x v="2"/>
    <n v="7000"/>
    <n v="400"/>
    <n v="24000000"/>
    <n v="5.7142857142857141E-2"/>
    <n v="0.387096774193548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F7D4C8-D223-407A-99A2-5EE5FDE71334}" name="PivotTable5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C14" firstHeaderRow="0" firstDataRow="1" firstDataCol="1"/>
  <pivotFields count="7">
    <pivotField axis="axisRow" showAll="0">
      <items count="4">
        <item x="0"/>
        <item x="2"/>
        <item x="1"/>
        <item t="default"/>
      </items>
    </pivotField>
    <pivotField showAll="0">
      <items count="4">
        <item x="2"/>
        <item x="1"/>
        <item x="0"/>
        <item t="default"/>
      </items>
    </pivotField>
    <pivotField dataField="1" showAll="0"/>
    <pivotField dataField="1" showAll="0"/>
    <pivotField showAll="0"/>
    <pivotField numFmtId="10" showAll="0"/>
    <pivotField numFmtId="10" showAll="0"/>
  </pivotFields>
  <rowFields count="1">
    <field x="0"/>
  </rowFields>
  <rowItems count="4">
    <i>
      <x/>
    </i>
    <i>
      <x v="1"/>
    </i>
    <i>
      <x v="2"/>
    </i>
    <i t="grand">
      <x/>
    </i>
  </rowItems>
  <colFields count="1">
    <field x="-2"/>
  </colFields>
  <colItems count="2">
    <i>
      <x/>
    </i>
    <i i="1">
      <x v="1"/>
    </i>
  </colItems>
  <dataFields count="2">
    <dataField name="Sum of Tayangan" fld="2" baseField="0" baseItem="0"/>
    <dataField name="Sum of Pendaftaran" fld="3"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7E8FF4-0C6E-4FAA-97FF-53597D7B5E3A}" name="PivotTable5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7">
    <pivotField showAll="0">
      <items count="4">
        <item x="0"/>
        <item x="2"/>
        <item x="1"/>
        <item t="default"/>
      </items>
    </pivotField>
    <pivotField axis="axisRow" showAll="0">
      <items count="4">
        <item x="2"/>
        <item x="1"/>
        <item x="0"/>
        <item t="default"/>
      </items>
    </pivotField>
    <pivotField showAll="0"/>
    <pivotField showAll="0"/>
    <pivotField showAll="0"/>
    <pivotField numFmtId="10" showAll="0"/>
    <pivotField dataField="1" numFmtId="10" showAll="0"/>
  </pivotFields>
  <rowFields count="1">
    <field x="1"/>
  </rowFields>
  <rowItems count="4">
    <i>
      <x/>
    </i>
    <i>
      <x v="1"/>
    </i>
    <i>
      <x v="2"/>
    </i>
    <i t="grand">
      <x/>
    </i>
  </rowItems>
  <colItems count="1">
    <i/>
  </colItems>
  <dataFields count="1">
    <dataField name="Sum of Revenue %" fld="6"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1" xr10:uid="{417796C5-8278-4430-BC41-22716107C478}" sourceName="Bulan">
  <pivotTables>
    <pivotTable tabId="13" name="PivotTable56"/>
    <pivotTable tabId="13" name="PivotTable55"/>
  </pivotTables>
  <data>
    <tabular pivotCacheId="139568799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nal1" xr10:uid="{68CD8A63-8721-4EF7-A209-343CFEBC663D}" sourceName="Kanal">
  <pivotTables>
    <pivotTable tabId="13" name="PivotTable56"/>
    <pivotTable tabId="13" name="PivotTable55"/>
  </pivotTables>
  <data>
    <tabular pivotCacheId="139568799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3" xr10:uid="{26C884E6-2E77-4161-BA01-E3493FFD4951}" cache="Slicer_Bulan1" caption="Bulan" style="SlicerStyleDark6" rowHeight="241300"/>
  <slicer name="Kanal 3" xr10:uid="{549812BB-A36A-49F4-9F0B-4796AAD4D2FA}" cache="Slicer_Kanal1" caption="Kanal"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2" xr10:uid="{76CF730C-7D35-4A07-AE4F-B09FC06B7624}" cache="Slicer_Bulan1" caption="Bulan" columnCount="2" style="SlicerStyleDark6" rowHeight="241300"/>
  <slicer name="Kanal 2" xr10:uid="{E3F7D78F-0191-41A6-A633-ED03DFF2E14E}" cache="Slicer_Kanal1" caption="Kanal" columnCount="2"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015D91-4039-47EC-ADF4-6CF333C13F3C}" name="Table4" displayName="Table4" ref="A1:G4" totalsRowShown="0" headerRowDxfId="10" headerRowBorderDxfId="9" tableBorderDxfId="8" totalsRowBorderDxfId="7">
  <autoFilter ref="A1:G4" xr:uid="{2E015D91-4039-47EC-ADF4-6CF333C13F3C}"/>
  <tableColumns count="7">
    <tableColumn id="1" xr3:uid="{E5A7E324-8C51-4576-8B84-CD214A8AD7A1}" name="Bulan" dataDxfId="6"/>
    <tableColumn id="2" xr3:uid="{A2290C9B-4ACD-45F7-B51D-67F73A2BDD01}" name="Kanal" dataDxfId="5"/>
    <tableColumn id="3" xr3:uid="{3E25B056-EE7E-434C-A041-179BFBD7A0A9}" name="Tayangan" dataDxfId="4"/>
    <tableColumn id="4" xr3:uid="{2A03E327-0F5F-4FD2-852D-A972F1B4239F}" name="Pendaftaran" dataDxfId="3"/>
    <tableColumn id="5" xr3:uid="{DC533686-BA54-4D11-96AC-46B25514AB88}" name="Revenue" dataDxfId="2"/>
    <tableColumn id="6" xr3:uid="{1E431AAD-D2F3-4CC3-BF16-902846C0430B}" name="Conversion Rate" dataDxfId="1">
      <calculatedColumnFormula>D2/C2</calculatedColumnFormula>
    </tableColumn>
    <tableColumn id="7" xr3:uid="{FA0B87AF-EBC0-4A22-BE07-56DBC0181516}" name="Revenue %" dataDxfId="0">
      <calculatedColumnFormula>E2/$E$7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6142-10EE-4EA5-89F2-44465B61D3C4}">
  <dimension ref="A1:U43"/>
  <sheetViews>
    <sheetView tabSelected="1" zoomScale="70" zoomScaleNormal="98" workbookViewId="0">
      <selection activeCell="T15" sqref="T15"/>
    </sheetView>
  </sheetViews>
  <sheetFormatPr defaultRowHeight="15" x14ac:dyDescent="0.25"/>
  <sheetData>
    <row r="1" spans="1:21" x14ac:dyDescent="0.25">
      <c r="A1" s="9"/>
      <c r="B1" s="9"/>
      <c r="C1" s="9"/>
      <c r="D1" s="9"/>
      <c r="E1" s="9"/>
      <c r="F1" s="9"/>
      <c r="G1" s="9"/>
      <c r="H1" s="9"/>
      <c r="I1" s="9"/>
      <c r="J1" s="9"/>
      <c r="K1" s="9"/>
      <c r="L1" s="9"/>
      <c r="M1" s="9"/>
      <c r="N1" s="9"/>
      <c r="O1" s="9"/>
      <c r="P1" s="9"/>
      <c r="Q1" s="9"/>
      <c r="R1" s="9"/>
      <c r="S1" s="9"/>
      <c r="T1" s="9"/>
      <c r="U1" s="9"/>
    </row>
    <row r="2" spans="1:21" x14ac:dyDescent="0.25">
      <c r="A2" s="9"/>
      <c r="B2" s="9"/>
      <c r="C2" s="9"/>
      <c r="D2" s="9"/>
      <c r="E2" s="9"/>
      <c r="F2" s="9"/>
      <c r="G2" s="9"/>
      <c r="H2" s="9"/>
      <c r="I2" s="9"/>
      <c r="J2" s="9"/>
      <c r="K2" s="9"/>
      <c r="L2" s="9"/>
      <c r="M2" s="9"/>
      <c r="N2" s="9"/>
      <c r="O2" s="9"/>
      <c r="P2" s="9"/>
      <c r="Q2" s="9"/>
      <c r="R2" s="9"/>
      <c r="S2" s="9"/>
      <c r="T2" s="9"/>
      <c r="U2" s="9"/>
    </row>
    <row r="3" spans="1:21" x14ac:dyDescent="0.25">
      <c r="A3" s="9"/>
      <c r="B3" s="9"/>
      <c r="C3" s="9"/>
      <c r="D3" s="9"/>
      <c r="E3" s="9"/>
      <c r="F3" s="9"/>
      <c r="G3" s="9"/>
      <c r="H3" s="9"/>
      <c r="I3" s="9"/>
      <c r="J3" s="9"/>
      <c r="K3" s="9"/>
      <c r="L3" s="9"/>
      <c r="M3" s="9"/>
      <c r="N3" s="9"/>
      <c r="O3" s="9"/>
      <c r="P3" s="9"/>
      <c r="Q3" s="9"/>
      <c r="R3" s="9"/>
      <c r="S3" s="9"/>
      <c r="T3" s="9"/>
      <c r="U3" s="9"/>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10"/>
      <c r="B8" s="10"/>
      <c r="C8" s="10"/>
      <c r="D8" s="10"/>
      <c r="E8" s="10"/>
      <c r="F8" s="10"/>
      <c r="G8" s="10"/>
      <c r="H8" s="10"/>
      <c r="I8" s="10"/>
      <c r="J8" s="10"/>
      <c r="K8" s="10"/>
      <c r="L8" s="10"/>
      <c r="M8" s="10"/>
      <c r="N8" s="10"/>
      <c r="O8" s="10"/>
      <c r="P8" s="10"/>
      <c r="Q8" s="10"/>
      <c r="R8" s="10"/>
      <c r="S8" s="10"/>
      <c r="T8" s="10"/>
      <c r="U8" s="10"/>
    </row>
    <row r="9" spans="1:21" x14ac:dyDescent="0.25">
      <c r="A9" s="10"/>
      <c r="B9" s="10"/>
      <c r="C9" s="10"/>
      <c r="D9" s="10"/>
      <c r="E9" s="10"/>
      <c r="F9" s="10"/>
      <c r="G9" s="10"/>
      <c r="H9" s="10"/>
      <c r="I9" s="10"/>
      <c r="J9" s="10"/>
      <c r="K9" s="10"/>
      <c r="L9" s="10"/>
      <c r="M9" s="10"/>
      <c r="N9" s="10"/>
      <c r="O9" s="10"/>
      <c r="P9" s="10"/>
      <c r="Q9" s="10"/>
      <c r="R9" s="10"/>
      <c r="S9" s="10"/>
      <c r="T9" s="10"/>
      <c r="U9" s="10"/>
    </row>
    <row r="10" spans="1:21" x14ac:dyDescent="0.25">
      <c r="A10" s="10"/>
      <c r="B10" s="10"/>
      <c r="C10" s="10"/>
      <c r="D10" s="10"/>
      <c r="E10" s="10"/>
      <c r="F10" s="10"/>
      <c r="G10" s="10"/>
      <c r="H10" s="10"/>
      <c r="I10" s="10"/>
      <c r="J10" s="10"/>
      <c r="K10" s="10"/>
      <c r="L10" s="10"/>
      <c r="M10" s="10"/>
      <c r="N10" s="10"/>
      <c r="O10" s="10"/>
      <c r="P10" s="10"/>
      <c r="Q10" s="10"/>
      <c r="R10" s="10"/>
      <c r="S10" s="10"/>
      <c r="T10" s="10"/>
      <c r="U10" s="10"/>
    </row>
    <row r="11" spans="1:21" x14ac:dyDescent="0.25">
      <c r="A11" s="10"/>
      <c r="B11" s="10"/>
      <c r="C11" s="10"/>
      <c r="D11" s="10"/>
      <c r="E11" s="10"/>
      <c r="F11" s="10"/>
      <c r="G11" s="10"/>
      <c r="H11" s="10"/>
      <c r="I11" s="10"/>
      <c r="J11" s="10"/>
      <c r="K11" s="10"/>
      <c r="L11" s="10"/>
      <c r="M11" s="10"/>
      <c r="N11" s="10"/>
      <c r="O11" s="10"/>
      <c r="P11" s="10"/>
      <c r="Q11" s="10"/>
      <c r="R11" s="10"/>
      <c r="S11" s="10"/>
      <c r="T11" s="10"/>
      <c r="U11" s="10"/>
    </row>
    <row r="12" spans="1:21" x14ac:dyDescent="0.25">
      <c r="A12" s="10"/>
      <c r="B12" s="10"/>
      <c r="C12" s="10"/>
      <c r="D12" s="10"/>
      <c r="E12" s="10"/>
      <c r="F12" s="10"/>
      <c r="G12" s="10"/>
      <c r="H12" s="10"/>
      <c r="I12" s="10"/>
      <c r="J12" s="10"/>
      <c r="K12" s="10"/>
      <c r="L12" s="10"/>
      <c r="M12" s="10"/>
      <c r="N12" s="10"/>
      <c r="O12" s="10"/>
      <c r="P12" s="10"/>
      <c r="Q12" s="10"/>
      <c r="R12" s="10"/>
      <c r="S12" s="10"/>
      <c r="T12" s="10"/>
      <c r="U12" s="10"/>
    </row>
    <row r="13" spans="1:21" x14ac:dyDescent="0.25">
      <c r="A13" s="10"/>
      <c r="B13" s="10"/>
      <c r="C13" s="10"/>
      <c r="D13" s="10"/>
      <c r="E13" s="10"/>
      <c r="F13" s="10"/>
      <c r="G13" s="10"/>
      <c r="H13" s="10"/>
      <c r="I13" s="10"/>
      <c r="J13" s="10"/>
      <c r="K13" s="10"/>
      <c r="L13" s="10"/>
      <c r="M13" s="10"/>
      <c r="N13" s="10"/>
      <c r="O13" s="10"/>
      <c r="P13" s="10"/>
      <c r="Q13" s="10"/>
      <c r="R13" s="10"/>
      <c r="S13" s="10"/>
      <c r="T13" s="10"/>
      <c r="U13" s="10"/>
    </row>
    <row r="14" spans="1:21" x14ac:dyDescent="0.25">
      <c r="A14" s="10"/>
      <c r="B14" s="10"/>
      <c r="C14" s="10"/>
      <c r="D14" s="10"/>
      <c r="E14" s="10"/>
      <c r="F14" s="10"/>
      <c r="G14" s="10"/>
      <c r="H14" s="10"/>
      <c r="I14" s="10"/>
      <c r="J14" s="10"/>
      <c r="K14" s="10"/>
      <c r="L14" s="10"/>
      <c r="M14" s="10"/>
      <c r="N14" s="10"/>
      <c r="O14" s="10"/>
      <c r="P14" s="10"/>
      <c r="Q14" s="10"/>
      <c r="R14" s="10"/>
      <c r="S14" s="10"/>
      <c r="T14" s="10"/>
      <c r="U14" s="10"/>
    </row>
    <row r="15" spans="1:21" x14ac:dyDescent="0.25">
      <c r="A15" s="10"/>
      <c r="B15" s="10"/>
      <c r="C15" s="10"/>
      <c r="D15" s="10"/>
      <c r="E15" s="10"/>
      <c r="F15" s="10"/>
      <c r="G15" s="10"/>
      <c r="H15" s="10"/>
      <c r="I15" s="10"/>
      <c r="J15" s="10"/>
      <c r="K15" s="10"/>
      <c r="L15" s="10"/>
      <c r="M15" s="10"/>
      <c r="N15" s="10"/>
      <c r="O15" s="10"/>
      <c r="P15" s="10"/>
      <c r="Q15" s="10"/>
      <c r="R15" s="10"/>
      <c r="S15" s="10"/>
      <c r="T15" s="10"/>
      <c r="U15" s="10"/>
    </row>
    <row r="16" spans="1:21" x14ac:dyDescent="0.25">
      <c r="A16" s="10"/>
      <c r="B16" s="10"/>
      <c r="C16" s="10"/>
      <c r="D16" s="10"/>
      <c r="E16" s="10"/>
      <c r="F16" s="10"/>
      <c r="G16" s="10"/>
      <c r="H16" s="10"/>
      <c r="I16" s="10"/>
      <c r="J16" s="10"/>
      <c r="K16" s="10"/>
      <c r="L16" s="10"/>
      <c r="M16" s="10"/>
      <c r="N16" s="10"/>
      <c r="O16" s="10"/>
      <c r="P16" s="10"/>
      <c r="Q16" s="10"/>
      <c r="R16" s="10"/>
      <c r="S16" s="10"/>
      <c r="T16" s="10"/>
      <c r="U16" s="10"/>
    </row>
    <row r="17" spans="1:21" x14ac:dyDescent="0.25">
      <c r="A17" s="10"/>
      <c r="B17" s="10"/>
      <c r="C17" s="10"/>
      <c r="D17" s="10"/>
      <c r="E17" s="10"/>
      <c r="F17" s="10"/>
      <c r="G17" s="10"/>
      <c r="H17" s="10"/>
      <c r="I17" s="10"/>
      <c r="J17" s="10"/>
      <c r="K17" s="10"/>
      <c r="L17" s="10"/>
      <c r="M17" s="10"/>
      <c r="N17" s="10"/>
      <c r="O17" s="10"/>
      <c r="P17" s="10"/>
      <c r="Q17" s="10"/>
      <c r="R17" s="10"/>
      <c r="S17" s="10"/>
      <c r="T17" s="10"/>
      <c r="U17" s="10"/>
    </row>
    <row r="18" spans="1:21" x14ac:dyDescent="0.25">
      <c r="A18" s="10"/>
      <c r="B18" s="10"/>
      <c r="C18" s="10"/>
      <c r="D18" s="10"/>
      <c r="E18" s="10"/>
      <c r="F18" s="10"/>
      <c r="G18" s="10"/>
      <c r="H18" s="10"/>
      <c r="I18" s="10"/>
      <c r="J18" s="10"/>
      <c r="K18" s="10"/>
      <c r="L18" s="10"/>
      <c r="M18" s="10"/>
      <c r="N18" s="10"/>
      <c r="O18" s="10"/>
      <c r="P18" s="10"/>
      <c r="Q18" s="10"/>
      <c r="R18" s="10"/>
      <c r="S18" s="10"/>
      <c r="T18" s="10"/>
      <c r="U18" s="10"/>
    </row>
    <row r="19" spans="1:21" x14ac:dyDescent="0.25">
      <c r="A19" s="10"/>
      <c r="B19" s="10"/>
      <c r="C19" s="10"/>
      <c r="D19" s="10"/>
      <c r="E19" s="10"/>
      <c r="F19" s="10"/>
      <c r="G19" s="10"/>
      <c r="H19" s="10"/>
      <c r="I19" s="10"/>
      <c r="J19" s="10"/>
      <c r="K19" s="10"/>
      <c r="L19" s="10"/>
      <c r="M19" s="10"/>
      <c r="N19" s="10"/>
      <c r="O19" s="10"/>
      <c r="P19" s="10"/>
      <c r="Q19" s="10"/>
      <c r="R19" s="10"/>
      <c r="S19" s="10"/>
      <c r="T19" s="10"/>
      <c r="U19" s="10"/>
    </row>
    <row r="20" spans="1:21" x14ac:dyDescent="0.25">
      <c r="A20" s="10"/>
      <c r="B20" s="10"/>
      <c r="C20" s="10"/>
      <c r="D20" s="10"/>
      <c r="E20" s="10"/>
      <c r="F20" s="10"/>
      <c r="G20" s="10"/>
      <c r="H20" s="10"/>
      <c r="I20" s="10"/>
      <c r="J20" s="10"/>
      <c r="K20" s="10"/>
      <c r="L20" s="10"/>
      <c r="M20" s="10"/>
      <c r="N20" s="10"/>
      <c r="O20" s="10"/>
      <c r="P20" s="10"/>
      <c r="Q20" s="10"/>
      <c r="R20" s="10"/>
      <c r="S20" s="10"/>
      <c r="T20" s="10"/>
      <c r="U20" s="10"/>
    </row>
    <row r="21" spans="1:21" x14ac:dyDescent="0.25">
      <c r="A21" s="10"/>
      <c r="B21" s="10"/>
      <c r="C21" s="10"/>
      <c r="D21" s="10"/>
      <c r="E21" s="10"/>
      <c r="F21" s="10"/>
      <c r="G21" s="10"/>
      <c r="H21" s="10"/>
      <c r="I21" s="10"/>
      <c r="J21" s="10"/>
      <c r="K21" s="10"/>
      <c r="L21" s="10"/>
      <c r="M21" s="10"/>
      <c r="N21" s="10"/>
      <c r="O21" s="10"/>
      <c r="P21" s="10"/>
      <c r="Q21" s="10"/>
      <c r="R21" s="10"/>
      <c r="S21" s="10"/>
      <c r="T21" s="10"/>
      <c r="U21" s="10"/>
    </row>
    <row r="22" spans="1:21" x14ac:dyDescent="0.25">
      <c r="A22" s="10"/>
      <c r="B22" s="10"/>
      <c r="C22" s="10"/>
      <c r="D22" s="10"/>
      <c r="E22" s="10"/>
      <c r="F22" s="10"/>
      <c r="G22" s="10"/>
      <c r="H22" s="10"/>
      <c r="I22" s="10"/>
      <c r="J22" s="10"/>
      <c r="K22" s="10"/>
      <c r="L22" s="10"/>
      <c r="M22" s="10"/>
      <c r="N22" s="10"/>
      <c r="O22" s="10"/>
      <c r="P22" s="10"/>
      <c r="Q22" s="10"/>
      <c r="R22" s="10"/>
      <c r="S22" s="10"/>
      <c r="T22" s="10"/>
      <c r="U22" s="10"/>
    </row>
    <row r="23" spans="1:21" x14ac:dyDescent="0.25">
      <c r="A23" s="10"/>
      <c r="B23" s="10"/>
      <c r="C23" s="10"/>
      <c r="D23" s="10"/>
      <c r="E23" s="10"/>
      <c r="F23" s="10"/>
      <c r="G23" s="10"/>
      <c r="H23" s="10"/>
      <c r="I23" s="10"/>
      <c r="J23" s="10"/>
      <c r="K23" s="10"/>
      <c r="L23" s="10"/>
      <c r="M23" s="10"/>
      <c r="N23" s="10"/>
      <c r="O23" s="10"/>
      <c r="P23" s="10"/>
      <c r="Q23" s="10"/>
      <c r="R23" s="10"/>
      <c r="S23" s="10"/>
      <c r="T23" s="10"/>
      <c r="U23" s="10"/>
    </row>
    <row r="24" spans="1:21" x14ac:dyDescent="0.25">
      <c r="A24" s="10"/>
      <c r="B24" s="10"/>
      <c r="C24" s="10"/>
      <c r="D24" s="10"/>
      <c r="E24" s="10"/>
      <c r="F24" s="10"/>
      <c r="G24" s="10"/>
      <c r="H24" s="10"/>
      <c r="I24" s="10"/>
      <c r="J24" s="10"/>
      <c r="K24" s="10"/>
      <c r="L24" s="10"/>
      <c r="M24" s="10"/>
      <c r="N24" s="10"/>
      <c r="O24" s="10"/>
      <c r="P24" s="10"/>
      <c r="Q24" s="10"/>
      <c r="R24" s="10"/>
      <c r="S24" s="10"/>
      <c r="T24" s="10"/>
      <c r="U24" s="10"/>
    </row>
    <row r="25" spans="1:21" x14ac:dyDescent="0.25">
      <c r="A25" s="10"/>
      <c r="B25" s="10"/>
      <c r="C25" s="10"/>
      <c r="D25" s="10"/>
      <c r="E25" s="10"/>
      <c r="F25" s="10"/>
      <c r="G25" s="10"/>
      <c r="H25" s="10"/>
      <c r="I25" s="10"/>
      <c r="J25" s="10"/>
      <c r="K25" s="10"/>
      <c r="L25" s="10"/>
      <c r="M25" s="10"/>
      <c r="N25" s="10"/>
      <c r="O25" s="10"/>
      <c r="P25" s="10"/>
      <c r="Q25" s="10"/>
      <c r="R25" s="10"/>
      <c r="S25" s="10"/>
      <c r="T25" s="10"/>
      <c r="U25" s="10"/>
    </row>
    <row r="26" spans="1:21" x14ac:dyDescent="0.25">
      <c r="A26" s="10"/>
      <c r="B26" s="10"/>
      <c r="C26" s="10"/>
      <c r="D26" s="10"/>
      <c r="E26" s="10"/>
      <c r="F26" s="10"/>
      <c r="G26" s="10"/>
      <c r="H26" s="10"/>
      <c r="I26" s="10"/>
      <c r="J26" s="10"/>
      <c r="K26" s="10"/>
      <c r="L26" s="10"/>
      <c r="M26" s="10"/>
      <c r="N26" s="10"/>
      <c r="O26" s="10"/>
      <c r="P26" s="10"/>
      <c r="Q26" s="10"/>
      <c r="R26" s="10"/>
      <c r="S26" s="10"/>
      <c r="T26" s="10"/>
      <c r="U26" s="10"/>
    </row>
    <row r="27" spans="1:21" x14ac:dyDescent="0.25">
      <c r="A27" s="10"/>
      <c r="B27" s="10"/>
      <c r="C27" s="10"/>
      <c r="D27" s="10"/>
      <c r="E27" s="10"/>
      <c r="F27" s="10"/>
      <c r="G27" s="10"/>
      <c r="H27" s="10"/>
      <c r="I27" s="10"/>
      <c r="J27" s="10"/>
      <c r="K27" s="10"/>
      <c r="L27" s="10"/>
      <c r="M27" s="10"/>
      <c r="N27" s="10"/>
      <c r="O27" s="10"/>
      <c r="P27" s="10"/>
      <c r="Q27" s="10"/>
      <c r="R27" s="10"/>
      <c r="S27" s="10"/>
      <c r="T27" s="10"/>
      <c r="U27" s="10"/>
    </row>
    <row r="28" spans="1:21" x14ac:dyDescent="0.25">
      <c r="A28" s="10"/>
      <c r="B28" s="10"/>
      <c r="C28" s="10"/>
      <c r="D28" s="10"/>
      <c r="E28" s="10"/>
      <c r="F28" s="10"/>
      <c r="G28" s="10"/>
      <c r="H28" s="10"/>
      <c r="I28" s="10"/>
      <c r="J28" s="10"/>
      <c r="K28" s="10"/>
      <c r="L28" s="10"/>
      <c r="M28" s="10"/>
      <c r="N28" s="10"/>
      <c r="O28" s="10"/>
      <c r="P28" s="10"/>
      <c r="Q28" s="10"/>
      <c r="R28" s="10"/>
      <c r="S28" s="10"/>
      <c r="T28" s="10"/>
      <c r="U28" s="10"/>
    </row>
    <row r="29" spans="1:21" x14ac:dyDescent="0.25">
      <c r="A29" s="10"/>
      <c r="B29" s="10"/>
      <c r="C29" s="10"/>
      <c r="D29" s="10"/>
      <c r="E29" s="10"/>
      <c r="F29" s="10"/>
      <c r="G29" s="10"/>
      <c r="H29" s="10"/>
      <c r="I29" s="10"/>
      <c r="J29" s="10"/>
      <c r="K29" s="10"/>
      <c r="L29" s="10"/>
      <c r="M29" s="10"/>
      <c r="N29" s="10"/>
      <c r="O29" s="10"/>
      <c r="P29" s="10"/>
      <c r="Q29" s="10"/>
      <c r="R29" s="10"/>
      <c r="S29" s="10"/>
      <c r="T29" s="10"/>
      <c r="U29" s="10"/>
    </row>
    <row r="30" spans="1:21" x14ac:dyDescent="0.25">
      <c r="A30" s="10"/>
      <c r="B30" s="10"/>
      <c r="C30" s="10"/>
      <c r="D30" s="10"/>
      <c r="E30" s="10"/>
      <c r="F30" s="10"/>
      <c r="G30" s="10"/>
      <c r="H30" s="10"/>
      <c r="I30" s="10"/>
      <c r="J30" s="10"/>
      <c r="K30" s="10"/>
      <c r="L30" s="10"/>
      <c r="M30" s="10"/>
      <c r="N30" s="10"/>
      <c r="O30" s="10"/>
      <c r="P30" s="10"/>
      <c r="Q30" s="10"/>
      <c r="R30" s="10"/>
      <c r="S30" s="10"/>
      <c r="T30" s="10"/>
      <c r="U30" s="10"/>
    </row>
    <row r="31" spans="1:21" x14ac:dyDescent="0.25">
      <c r="A31" s="10"/>
      <c r="B31" s="10"/>
      <c r="C31" s="10"/>
      <c r="D31" s="10"/>
      <c r="E31" s="10"/>
      <c r="F31" s="10"/>
      <c r="G31" s="10"/>
      <c r="H31" s="10"/>
      <c r="I31" s="10"/>
      <c r="J31" s="10"/>
      <c r="K31" s="10"/>
      <c r="L31" s="10"/>
      <c r="M31" s="10"/>
      <c r="N31" s="10"/>
      <c r="O31" s="10"/>
      <c r="P31" s="10"/>
      <c r="Q31" s="10"/>
      <c r="R31" s="10"/>
      <c r="S31" s="10"/>
      <c r="T31" s="10"/>
      <c r="U31" s="10"/>
    </row>
    <row r="32" spans="1:21" x14ac:dyDescent="0.25">
      <c r="A32" s="10"/>
      <c r="B32" s="10"/>
      <c r="C32" s="10"/>
      <c r="D32" s="10"/>
      <c r="E32" s="10"/>
      <c r="F32" s="10"/>
      <c r="G32" s="10"/>
      <c r="H32" s="10"/>
      <c r="I32" s="10"/>
      <c r="J32" s="10"/>
      <c r="K32" s="10"/>
      <c r="L32" s="10"/>
      <c r="M32" s="10"/>
      <c r="N32" s="10"/>
      <c r="O32" s="10"/>
      <c r="P32" s="10"/>
      <c r="Q32" s="10"/>
      <c r="R32" s="10"/>
      <c r="S32" s="10"/>
      <c r="T32" s="10"/>
      <c r="U32" s="10"/>
    </row>
    <row r="33" spans="1:21" x14ac:dyDescent="0.25">
      <c r="A33" s="10"/>
      <c r="B33" s="10"/>
      <c r="C33" s="10"/>
      <c r="D33" s="10"/>
      <c r="E33" s="10"/>
      <c r="F33" s="10"/>
      <c r="G33" s="10"/>
      <c r="H33" s="10"/>
      <c r="I33" s="10"/>
      <c r="J33" s="10"/>
      <c r="K33" s="10"/>
      <c r="L33" s="10"/>
      <c r="M33" s="10"/>
      <c r="N33" s="10"/>
      <c r="O33" s="10"/>
      <c r="P33" s="10"/>
      <c r="Q33" s="10"/>
      <c r="R33" s="10"/>
      <c r="S33" s="10"/>
      <c r="T33" s="10"/>
      <c r="U33" s="10"/>
    </row>
    <row r="34" spans="1:21" x14ac:dyDescent="0.25">
      <c r="A34" s="10"/>
      <c r="B34" s="10"/>
      <c r="C34" s="10"/>
      <c r="D34" s="10"/>
      <c r="E34" s="10"/>
      <c r="F34" s="10"/>
      <c r="G34" s="10"/>
      <c r="H34" s="10"/>
      <c r="I34" s="10"/>
      <c r="J34" s="10"/>
      <c r="K34" s="10"/>
      <c r="L34" s="10"/>
      <c r="M34" s="10"/>
      <c r="N34" s="10"/>
      <c r="O34" s="10"/>
      <c r="P34" s="10"/>
      <c r="Q34" s="10"/>
      <c r="R34" s="10"/>
      <c r="S34" s="10"/>
      <c r="T34" s="10"/>
      <c r="U34" s="10"/>
    </row>
    <row r="35" spans="1:21" x14ac:dyDescent="0.25">
      <c r="A35" s="10"/>
      <c r="B35" s="10"/>
      <c r="C35" s="10"/>
      <c r="D35" s="10"/>
      <c r="E35" s="10"/>
      <c r="F35" s="10"/>
      <c r="G35" s="10"/>
      <c r="H35" s="10"/>
      <c r="I35" s="10"/>
      <c r="J35" s="10"/>
      <c r="K35" s="10"/>
      <c r="L35" s="10"/>
      <c r="M35" s="10"/>
      <c r="N35" s="10"/>
      <c r="O35" s="10"/>
      <c r="P35" s="10"/>
      <c r="Q35" s="10"/>
      <c r="R35" s="10"/>
      <c r="S35" s="10"/>
      <c r="T35" s="10"/>
      <c r="U35" s="10"/>
    </row>
    <row r="36" spans="1:21" x14ac:dyDescent="0.25">
      <c r="A36" s="10"/>
      <c r="B36" s="10"/>
      <c r="C36" s="10"/>
      <c r="D36" s="10"/>
      <c r="E36" s="10"/>
      <c r="F36" s="10"/>
      <c r="G36" s="10"/>
      <c r="H36" s="10"/>
      <c r="I36" s="10"/>
      <c r="J36" s="10"/>
      <c r="K36" s="10"/>
      <c r="L36" s="10"/>
      <c r="M36" s="10"/>
      <c r="N36" s="10"/>
      <c r="O36" s="10"/>
      <c r="P36" s="10"/>
      <c r="Q36" s="10"/>
      <c r="R36" s="10"/>
      <c r="S36" s="10"/>
      <c r="T36" s="10"/>
      <c r="U36" s="10"/>
    </row>
    <row r="37" spans="1:21" x14ac:dyDescent="0.25">
      <c r="A37" s="10"/>
      <c r="B37" s="10"/>
      <c r="C37" s="10"/>
      <c r="D37" s="10"/>
      <c r="E37" s="10"/>
      <c r="F37" s="10"/>
      <c r="G37" s="10"/>
      <c r="H37" s="10"/>
      <c r="I37" s="10"/>
      <c r="J37" s="10"/>
      <c r="K37" s="10"/>
      <c r="L37" s="10"/>
      <c r="M37" s="10"/>
      <c r="N37" s="10"/>
      <c r="O37" s="10"/>
      <c r="P37" s="10"/>
      <c r="Q37" s="10"/>
      <c r="R37" s="10"/>
      <c r="S37" s="10"/>
      <c r="T37" s="10"/>
      <c r="U37" s="10"/>
    </row>
    <row r="38" spans="1:21" x14ac:dyDescent="0.25">
      <c r="A38" s="10"/>
      <c r="B38" s="10"/>
      <c r="C38" s="10"/>
      <c r="D38" s="10"/>
      <c r="E38" s="10"/>
      <c r="F38" s="10"/>
      <c r="G38" s="10"/>
      <c r="H38" s="10"/>
      <c r="I38" s="10"/>
      <c r="J38" s="10"/>
      <c r="K38" s="10"/>
      <c r="L38" s="10"/>
      <c r="M38" s="10"/>
      <c r="N38" s="10"/>
      <c r="O38" s="10"/>
      <c r="P38" s="10"/>
      <c r="Q38" s="10"/>
      <c r="R38" s="10"/>
      <c r="S38" s="10"/>
      <c r="T38" s="10"/>
      <c r="U38" s="10"/>
    </row>
    <row r="39" spans="1:21" x14ac:dyDescent="0.25">
      <c r="A39" s="10"/>
      <c r="B39" s="10"/>
      <c r="C39" s="10"/>
      <c r="D39" s="10"/>
      <c r="E39" s="10"/>
      <c r="F39" s="10"/>
      <c r="G39" s="10"/>
      <c r="H39" s="10"/>
      <c r="I39" s="10"/>
      <c r="J39" s="10"/>
      <c r="K39" s="10"/>
      <c r="L39" s="10"/>
      <c r="M39" s="10"/>
      <c r="N39" s="10"/>
      <c r="O39" s="10"/>
      <c r="P39" s="10"/>
      <c r="Q39" s="10"/>
      <c r="R39" s="10"/>
      <c r="S39" s="10"/>
      <c r="T39" s="10"/>
      <c r="U39" s="10"/>
    </row>
    <row r="40" spans="1:21" x14ac:dyDescent="0.25">
      <c r="A40" s="10"/>
      <c r="B40" s="10"/>
      <c r="C40" s="10"/>
      <c r="D40" s="10"/>
      <c r="E40" s="10"/>
      <c r="F40" s="10"/>
      <c r="G40" s="10"/>
      <c r="H40" s="10"/>
      <c r="I40" s="10"/>
      <c r="J40" s="10"/>
      <c r="K40" s="10"/>
      <c r="L40" s="10"/>
      <c r="M40" s="10"/>
      <c r="N40" s="10"/>
      <c r="O40" s="10"/>
      <c r="P40" s="10"/>
      <c r="Q40" s="10"/>
      <c r="R40" s="10"/>
      <c r="S40" s="10"/>
      <c r="T40" s="10"/>
      <c r="U40" s="10"/>
    </row>
    <row r="41" spans="1:21" x14ac:dyDescent="0.25">
      <c r="A41" s="10"/>
      <c r="B41" s="10"/>
      <c r="C41" s="10"/>
      <c r="D41" s="10"/>
      <c r="E41" s="10"/>
      <c r="F41" s="10"/>
      <c r="G41" s="10"/>
      <c r="H41" s="10"/>
      <c r="I41" s="10"/>
      <c r="J41" s="10"/>
      <c r="K41" s="10"/>
      <c r="L41" s="10"/>
      <c r="M41" s="10"/>
      <c r="N41" s="10"/>
      <c r="O41" s="10"/>
      <c r="P41" s="10"/>
      <c r="Q41" s="10"/>
      <c r="R41" s="10"/>
      <c r="S41" s="10"/>
      <c r="T41" s="10"/>
      <c r="U41" s="10"/>
    </row>
    <row r="42" spans="1:21" x14ac:dyDescent="0.25">
      <c r="A42" s="10"/>
      <c r="B42" s="10"/>
      <c r="C42" s="10"/>
      <c r="D42" s="10"/>
      <c r="E42" s="10"/>
      <c r="F42" s="10"/>
      <c r="G42" s="10"/>
      <c r="H42" s="10"/>
      <c r="I42" s="10"/>
      <c r="J42" s="10"/>
      <c r="K42" s="10"/>
      <c r="L42" s="10"/>
      <c r="M42" s="10"/>
      <c r="N42" s="10"/>
      <c r="O42" s="10"/>
      <c r="P42" s="10"/>
      <c r="Q42" s="10"/>
      <c r="R42" s="10"/>
      <c r="S42" s="10"/>
      <c r="T42" s="10"/>
      <c r="U42" s="10"/>
    </row>
    <row r="43" spans="1:21" x14ac:dyDescent="0.25">
      <c r="A43" s="10"/>
      <c r="B43" s="10"/>
      <c r="C43" s="10"/>
      <c r="D43" s="10"/>
      <c r="E43" s="10"/>
      <c r="F43" s="10"/>
      <c r="G43" s="10"/>
      <c r="H43" s="10"/>
      <c r="I43" s="10"/>
      <c r="J43" s="10"/>
      <c r="K43" s="10"/>
      <c r="L43" s="10"/>
      <c r="M43" s="10"/>
      <c r="N43" s="10"/>
      <c r="O43" s="10"/>
      <c r="P43" s="10"/>
      <c r="Q43" s="10"/>
      <c r="R43" s="10"/>
      <c r="S43" s="10"/>
      <c r="T43" s="10"/>
      <c r="U43" s="10"/>
    </row>
  </sheetData>
  <pageMargins left="3.937007874015748E-2" right="3.937007874015748E-2" top="3.937007874015748E-2" bottom="3.937007874015748E-2" header="3.937007874015748E-2" footer="3.937007874015748E-2"/>
  <pageSetup paperSize="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115B5-0816-4AED-9731-C2AF76D97CF9}">
  <dimension ref="A3:C14"/>
  <sheetViews>
    <sheetView topLeftCell="A6" zoomScale="97" workbookViewId="0">
      <selection activeCell="P17" sqref="P17"/>
    </sheetView>
  </sheetViews>
  <sheetFormatPr defaultRowHeight="15" x14ac:dyDescent="0.25"/>
  <cols>
    <col min="1" max="1" width="13.140625" bestFit="1" customWidth="1"/>
    <col min="2" max="2" width="17.7109375" bestFit="1" customWidth="1"/>
    <col min="3" max="3" width="18.7109375" bestFit="1" customWidth="1"/>
  </cols>
  <sheetData>
    <row r="3" spans="1:3" x14ac:dyDescent="0.25">
      <c r="A3" s="1" t="s">
        <v>9</v>
      </c>
      <c r="B3" t="s">
        <v>23</v>
      </c>
    </row>
    <row r="4" spans="1:3" x14ac:dyDescent="0.25">
      <c r="A4" s="2" t="s">
        <v>8</v>
      </c>
      <c r="B4" s="4">
        <v>0.38709677419354838</v>
      </c>
    </row>
    <row r="5" spans="1:3" x14ac:dyDescent="0.25">
      <c r="A5" s="2" t="s">
        <v>13</v>
      </c>
      <c r="B5" s="4">
        <v>0.27419354838709675</v>
      </c>
    </row>
    <row r="6" spans="1:3" x14ac:dyDescent="0.25">
      <c r="A6" s="2" t="s">
        <v>7</v>
      </c>
      <c r="B6" s="4">
        <v>0.33870967741935482</v>
      </c>
    </row>
    <row r="7" spans="1:3" x14ac:dyDescent="0.25">
      <c r="A7" s="2" t="s">
        <v>10</v>
      </c>
      <c r="B7" s="4">
        <v>1</v>
      </c>
    </row>
    <row r="10" spans="1:3" x14ac:dyDescent="0.25">
      <c r="A10" s="1" t="s">
        <v>9</v>
      </c>
      <c r="B10" t="s">
        <v>24</v>
      </c>
      <c r="C10" t="s">
        <v>11</v>
      </c>
    </row>
    <row r="11" spans="1:3" x14ac:dyDescent="0.25">
      <c r="A11" s="2" t="s">
        <v>5</v>
      </c>
      <c r="B11">
        <v>6000</v>
      </c>
      <c r="C11">
        <v>300</v>
      </c>
    </row>
    <row r="12" spans="1:3" x14ac:dyDescent="0.25">
      <c r="A12" s="2" t="s">
        <v>6</v>
      </c>
      <c r="B12">
        <v>7000</v>
      </c>
      <c r="C12">
        <v>400</v>
      </c>
    </row>
    <row r="13" spans="1:3" x14ac:dyDescent="0.25">
      <c r="A13" s="2" t="s">
        <v>14</v>
      </c>
      <c r="B13">
        <v>5000</v>
      </c>
      <c r="C13">
        <v>250</v>
      </c>
    </row>
    <row r="14" spans="1:3" x14ac:dyDescent="0.25">
      <c r="A14" s="2" t="s">
        <v>10</v>
      </c>
      <c r="B14">
        <v>18000</v>
      </c>
      <c r="C14">
        <v>950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1DCF-BBD8-4D10-B000-339D92608833}">
  <dimension ref="A1:G9"/>
  <sheetViews>
    <sheetView workbookViewId="0">
      <selection sqref="A1:G4"/>
    </sheetView>
  </sheetViews>
  <sheetFormatPr defaultRowHeight="15" x14ac:dyDescent="0.25"/>
  <cols>
    <col min="2" max="2" width="10" customWidth="1"/>
    <col min="3" max="3" width="11.42578125" customWidth="1"/>
    <col min="4" max="4" width="14" customWidth="1"/>
    <col min="5" max="5" width="12.42578125" bestFit="1" customWidth="1"/>
    <col min="6" max="6" width="17.5703125" customWidth="1"/>
  </cols>
  <sheetData>
    <row r="1" spans="1:7" x14ac:dyDescent="0.25">
      <c r="A1" s="14" t="s">
        <v>0</v>
      </c>
      <c r="B1" s="15" t="s">
        <v>1</v>
      </c>
      <c r="C1" s="15" t="s">
        <v>2</v>
      </c>
      <c r="D1" s="15" t="s">
        <v>3</v>
      </c>
      <c r="E1" s="15" t="s">
        <v>4</v>
      </c>
      <c r="F1" s="16" t="s">
        <v>19</v>
      </c>
      <c r="G1" s="15" t="s">
        <v>20</v>
      </c>
    </row>
    <row r="2" spans="1:7" x14ac:dyDescent="0.25">
      <c r="A2" s="12" t="s">
        <v>5</v>
      </c>
      <c r="B2" s="6" t="s">
        <v>7</v>
      </c>
      <c r="C2" s="6">
        <v>6000</v>
      </c>
      <c r="D2" s="6">
        <v>300</v>
      </c>
      <c r="E2" s="6">
        <v>21000000</v>
      </c>
      <c r="F2" s="13">
        <f>D2/C2</f>
        <v>0.05</v>
      </c>
      <c r="G2" s="20">
        <f t="shared" ref="G2:G4" si="0">E2/$E$7</f>
        <v>0.33870967741935482</v>
      </c>
    </row>
    <row r="3" spans="1:7" x14ac:dyDescent="0.25">
      <c r="A3" s="12" t="s">
        <v>14</v>
      </c>
      <c r="B3" s="6" t="s">
        <v>13</v>
      </c>
      <c r="C3" s="6">
        <v>5000</v>
      </c>
      <c r="D3" s="6">
        <v>250</v>
      </c>
      <c r="E3" s="6">
        <v>17000000</v>
      </c>
      <c r="F3" s="13">
        <f t="shared" ref="F3:F4" si="1">D3/C3</f>
        <v>0.05</v>
      </c>
      <c r="G3" s="7">
        <f t="shared" si="0"/>
        <v>0.27419354838709675</v>
      </c>
    </row>
    <row r="4" spans="1:7" x14ac:dyDescent="0.25">
      <c r="A4" s="17" t="s">
        <v>6</v>
      </c>
      <c r="B4" s="18" t="s">
        <v>8</v>
      </c>
      <c r="C4" s="18">
        <v>7000</v>
      </c>
      <c r="D4" s="18">
        <v>400</v>
      </c>
      <c r="E4" s="18">
        <v>24000000</v>
      </c>
      <c r="F4" s="19">
        <f t="shared" si="1"/>
        <v>5.7142857142857141E-2</v>
      </c>
      <c r="G4" s="21">
        <f t="shared" si="0"/>
        <v>0.38709677419354838</v>
      </c>
    </row>
    <row r="7" spans="1:7" x14ac:dyDescent="0.25">
      <c r="A7" s="22" t="s">
        <v>21</v>
      </c>
      <c r="B7" s="23"/>
      <c r="C7" s="11">
        <f>SUM(C2:C4)</f>
        <v>18000</v>
      </c>
      <c r="D7" s="11">
        <f>SUM(D2:D4)</f>
        <v>950</v>
      </c>
      <c r="E7" s="8">
        <f>SUM(E2:E4)</f>
        <v>62000000</v>
      </c>
    </row>
    <row r="9" spans="1:7" ht="26.25" customHeight="1" x14ac:dyDescent="0.25">
      <c r="A9" s="24" t="s">
        <v>22</v>
      </c>
      <c r="B9" s="24"/>
      <c r="C9" s="4">
        <f>D7/C7</f>
        <v>5.2777777777777778E-2</v>
      </c>
    </row>
  </sheetData>
  <mergeCells count="2">
    <mergeCell ref="A7:B7"/>
    <mergeCell ref="A9:B9"/>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EE4-C48A-4BB4-A2C0-99520A51211A}">
  <dimension ref="A1:F20"/>
  <sheetViews>
    <sheetView zoomScale="108" workbookViewId="0">
      <selection activeCell="E12" sqref="E12"/>
    </sheetView>
  </sheetViews>
  <sheetFormatPr defaultRowHeight="15" x14ac:dyDescent="0.25"/>
  <cols>
    <col min="1" max="1" width="11.28515625" customWidth="1"/>
    <col min="2" max="2" width="10.7109375" customWidth="1"/>
    <col min="3" max="3" width="9.140625" customWidth="1"/>
    <col min="4" max="4" width="14.7109375" customWidth="1"/>
    <col min="5" max="5" width="11.42578125" customWidth="1"/>
    <col min="6" max="6" width="14.42578125" customWidth="1"/>
  </cols>
  <sheetData>
    <row r="1" spans="1:6" x14ac:dyDescent="0.25">
      <c r="A1" s="6" t="s">
        <v>0</v>
      </c>
      <c r="B1" s="6" t="s">
        <v>1</v>
      </c>
      <c r="C1" s="6" t="s">
        <v>2</v>
      </c>
      <c r="D1" s="6" t="s">
        <v>3</v>
      </c>
      <c r="E1" s="6" t="s">
        <v>4</v>
      </c>
      <c r="F1" s="6" t="s">
        <v>19</v>
      </c>
    </row>
    <row r="2" spans="1:6" x14ac:dyDescent="0.25">
      <c r="A2" s="6" t="s">
        <v>5</v>
      </c>
      <c r="B2" s="6" t="s">
        <v>7</v>
      </c>
      <c r="C2" s="6">
        <v>6000</v>
      </c>
      <c r="D2" s="6">
        <v>300</v>
      </c>
      <c r="E2" s="6">
        <v>21000000</v>
      </c>
      <c r="F2" s="7">
        <f>D2/C2</f>
        <v>0.05</v>
      </c>
    </row>
    <row r="3" spans="1:6" x14ac:dyDescent="0.25">
      <c r="A3" s="6" t="s">
        <v>14</v>
      </c>
      <c r="B3" s="6" t="s">
        <v>13</v>
      </c>
      <c r="C3" s="6">
        <v>5000</v>
      </c>
      <c r="D3" s="6">
        <v>250</v>
      </c>
      <c r="E3" s="6">
        <v>17000000</v>
      </c>
      <c r="F3" s="7">
        <f t="shared" ref="F3:F4" si="0">D3/C3</f>
        <v>0.05</v>
      </c>
    </row>
    <row r="4" spans="1:6" x14ac:dyDescent="0.25">
      <c r="A4" s="6" t="s">
        <v>6</v>
      </c>
      <c r="B4" s="6" t="s">
        <v>8</v>
      </c>
      <c r="C4" s="6">
        <v>7000</v>
      </c>
      <c r="D4" s="6">
        <v>400</v>
      </c>
      <c r="E4" s="6">
        <v>24000000</v>
      </c>
      <c r="F4" s="7">
        <f t="shared" si="0"/>
        <v>5.7142857142857141E-2</v>
      </c>
    </row>
    <row r="7" spans="1:6" x14ac:dyDescent="0.25">
      <c r="A7" t="s">
        <v>15</v>
      </c>
    </row>
    <row r="8" spans="1:6" x14ac:dyDescent="0.25">
      <c r="A8" t="s">
        <v>16</v>
      </c>
      <c r="B8" t="s">
        <v>12</v>
      </c>
    </row>
    <row r="9" spans="1:6" x14ac:dyDescent="0.25">
      <c r="A9" t="s">
        <v>2</v>
      </c>
      <c r="B9" s="3">
        <v>1</v>
      </c>
    </row>
    <row r="10" spans="1:6" x14ac:dyDescent="0.25">
      <c r="A10" t="s">
        <v>3</v>
      </c>
      <c r="B10" s="3">
        <f>F2</f>
        <v>0.05</v>
      </c>
    </row>
    <row r="12" spans="1:6" x14ac:dyDescent="0.25">
      <c r="A12" t="s">
        <v>17</v>
      </c>
    </row>
    <row r="13" spans="1:6" x14ac:dyDescent="0.25">
      <c r="A13" t="s">
        <v>16</v>
      </c>
      <c r="B13" t="s">
        <v>12</v>
      </c>
    </row>
    <row r="14" spans="1:6" x14ac:dyDescent="0.25">
      <c r="A14" t="s">
        <v>2</v>
      </c>
      <c r="B14" s="5">
        <v>1</v>
      </c>
    </row>
    <row r="15" spans="1:6" x14ac:dyDescent="0.25">
      <c r="A15" t="s">
        <v>3</v>
      </c>
      <c r="B15" s="4">
        <f>F3</f>
        <v>0.05</v>
      </c>
    </row>
    <row r="17" spans="1:2" x14ac:dyDescent="0.25">
      <c r="A17" t="s">
        <v>18</v>
      </c>
    </row>
    <row r="18" spans="1:2" x14ac:dyDescent="0.25">
      <c r="A18" t="s">
        <v>16</v>
      </c>
      <c r="B18" t="s">
        <v>12</v>
      </c>
    </row>
    <row r="19" spans="1:2" x14ac:dyDescent="0.25">
      <c r="A19" t="s">
        <v>2</v>
      </c>
      <c r="B19" s="5">
        <v>1</v>
      </c>
    </row>
    <row r="20" spans="1:2" x14ac:dyDescent="0.25">
      <c r="A20" t="s">
        <v>3</v>
      </c>
      <c r="B20" s="4">
        <f>F4</f>
        <v>5.7142857142857141E-2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Data Lengkap</vt:lpstr>
      <vt:lpstr>Funnel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CHRISTIANI</dc:creator>
  <cp:lastModifiedBy>ISABELLA CHRISTIANI</cp:lastModifiedBy>
  <cp:lastPrinted>2026-02-20T16:15:40Z</cp:lastPrinted>
  <dcterms:created xsi:type="dcterms:W3CDTF">2026-02-10T14:24:39Z</dcterms:created>
  <dcterms:modified xsi:type="dcterms:W3CDTF">2026-02-20T16:16:01Z</dcterms:modified>
</cp:coreProperties>
</file>